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0820a6acf043f83/Documentos/Operacional/PROGRAMA DE CÁLCULOS/Django/HTcalculus/Descompressao/"/>
    </mc:Choice>
  </mc:AlternateContent>
  <xr:revisionPtr revIDLastSave="0" documentId="13_ncr:1_{9D040556-2801-4C29-99CA-89CA77D55AFE}" xr6:coauthVersionLast="47" xr6:coauthVersionMax="47" xr10:uidLastSave="{00000000-0000-0000-0000-000000000000}"/>
  <bookViews>
    <workbookView xWindow="-22046" yWindow="-103" windowWidth="22149" windowHeight="13200" tabRatio="923" firstSheet="2" activeTab="2" xr2:uid="{00000000-000D-0000-FFFF-FFFF00000000}"/>
  </bookViews>
  <sheets>
    <sheet name="AtualMon" sheetId="16" state="veryHidden" r:id="rId1"/>
    <sheet name="Juros" sheetId="54" state="veryHidden" r:id="rId2"/>
    <sheet name="ModeloDescNovo" sheetId="55" r:id="rId3"/>
    <sheet name="EvolSalarial" sheetId="24" state="veryHidden" r:id="rId4"/>
    <sheet name="EvolSalarialCorreta" sheetId="15" state="veryHidden" r:id="rId5"/>
  </sheets>
  <functionGroups builtInGroupCount="19"/>
  <definedNames>
    <definedName name="_xlnm.Print_Area" localSheetId="2">ModeloDescNovo!$A$6:$W$94</definedName>
    <definedName name="Servidor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1" i="55" l="1"/>
  <c r="B90" i="55"/>
  <c r="D90" i="55" s="1"/>
  <c r="H90" i="55" s="1"/>
  <c r="I90" i="55" s="1"/>
  <c r="B89" i="55"/>
  <c r="B88" i="55"/>
  <c r="D88" i="55" s="1"/>
  <c r="H88" i="55" s="1"/>
  <c r="I88" i="55" s="1"/>
  <c r="B87" i="55"/>
  <c r="D87" i="55" s="1"/>
  <c r="B86" i="55"/>
  <c r="D86" i="55" s="1"/>
  <c r="B85" i="55"/>
  <c r="D85" i="55" s="1"/>
  <c r="B84" i="55"/>
  <c r="D84" i="55" s="1"/>
  <c r="B83" i="55"/>
  <c r="D83" i="55" s="1"/>
  <c r="E83" i="55" s="1"/>
  <c r="Q83" i="55" s="1"/>
  <c r="B82" i="55"/>
  <c r="D82" i="55" s="1"/>
  <c r="E82" i="55" s="1"/>
  <c r="Q82" i="55" s="1"/>
  <c r="B81" i="55"/>
  <c r="D81" i="55" s="1"/>
  <c r="B80" i="55"/>
  <c r="D80" i="55" s="1"/>
  <c r="E80" i="55" s="1"/>
  <c r="B79" i="55"/>
  <c r="B78" i="55"/>
  <c r="D78" i="55" s="1"/>
  <c r="H78" i="55" s="1"/>
  <c r="I78" i="55" s="1"/>
  <c r="B77" i="55"/>
  <c r="B76" i="55"/>
  <c r="D76" i="55" s="1"/>
  <c r="H76" i="55" s="1"/>
  <c r="I76" i="55" s="1"/>
  <c r="B75" i="55"/>
  <c r="D75" i="55" s="1"/>
  <c r="B74" i="55"/>
  <c r="D74" i="55" s="1"/>
  <c r="B73" i="55"/>
  <c r="D73" i="55" s="1"/>
  <c r="B72" i="55"/>
  <c r="D72" i="55" s="1"/>
  <c r="E72" i="55" s="1"/>
  <c r="B71" i="55"/>
  <c r="D71" i="55" s="1"/>
  <c r="B70" i="55"/>
  <c r="D70" i="55" s="1"/>
  <c r="H70" i="55" s="1"/>
  <c r="I70" i="55" s="1"/>
  <c r="B69" i="55"/>
  <c r="D69" i="55" s="1"/>
  <c r="B68" i="55"/>
  <c r="D68" i="55" s="1"/>
  <c r="H68" i="55" s="1"/>
  <c r="I68" i="55" s="1"/>
  <c r="B67" i="55"/>
  <c r="B66" i="55"/>
  <c r="D66" i="55" s="1"/>
  <c r="E66" i="55" s="1"/>
  <c r="B65" i="55"/>
  <c r="B64" i="55"/>
  <c r="D64" i="55" s="1"/>
  <c r="H64" i="55" s="1"/>
  <c r="I64" i="55" s="1"/>
  <c r="B63" i="55"/>
  <c r="D63" i="55" s="1"/>
  <c r="B62" i="55"/>
  <c r="D62" i="55" s="1"/>
  <c r="B61" i="55"/>
  <c r="D61" i="55" s="1"/>
  <c r="B60" i="55"/>
  <c r="D60" i="55" s="1"/>
  <c r="E60" i="55" s="1"/>
  <c r="Q60" i="55" s="1"/>
  <c r="B59" i="55"/>
  <c r="D59" i="55" s="1"/>
  <c r="B58" i="55"/>
  <c r="D58" i="55" s="1"/>
  <c r="H58" i="55" s="1"/>
  <c r="I58" i="55" s="1"/>
  <c r="B57" i="55"/>
  <c r="D57" i="55" s="1"/>
  <c r="B56" i="55"/>
  <c r="D56" i="55" s="1"/>
  <c r="E56" i="55" s="1"/>
  <c r="B55" i="55"/>
  <c r="B54" i="55"/>
  <c r="D54" i="55" s="1"/>
  <c r="E54" i="55" s="1"/>
  <c r="B53" i="55"/>
  <c r="B52" i="55"/>
  <c r="D52" i="55" s="1"/>
  <c r="B51" i="55"/>
  <c r="D51" i="55" s="1"/>
  <c r="B50" i="55"/>
  <c r="D50" i="55" s="1"/>
  <c r="B49" i="55"/>
  <c r="D49" i="55" s="1"/>
  <c r="B48" i="55"/>
  <c r="D48" i="55" s="1"/>
  <c r="B47" i="55"/>
  <c r="D47" i="55" s="1"/>
  <c r="B46" i="55"/>
  <c r="D46" i="55" s="1"/>
  <c r="E46" i="55" s="1"/>
  <c r="Q46" i="55" s="1"/>
  <c r="B45" i="55"/>
  <c r="D45" i="55" s="1"/>
  <c r="H45" i="55" s="1"/>
  <c r="I45" i="55" s="1"/>
  <c r="B44" i="55"/>
  <c r="D44" i="55" s="1"/>
  <c r="E44" i="55" s="1"/>
  <c r="B43" i="55"/>
  <c r="B42" i="55"/>
  <c r="D42" i="55" s="1"/>
  <c r="E42" i="55" s="1"/>
  <c r="B41" i="55"/>
  <c r="B40" i="55"/>
  <c r="D40" i="55" s="1"/>
  <c r="E40" i="55" s="1"/>
  <c r="Q40" i="55" s="1"/>
  <c r="B39" i="55"/>
  <c r="D39" i="55" s="1"/>
  <c r="B38" i="55"/>
  <c r="D38" i="55" s="1"/>
  <c r="B37" i="55"/>
  <c r="D37" i="55" s="1"/>
  <c r="B36" i="55"/>
  <c r="D36" i="55" s="1"/>
  <c r="B35" i="55"/>
  <c r="D35" i="55" s="1"/>
  <c r="E35" i="55" s="1"/>
  <c r="Q35" i="55" s="1"/>
  <c r="B34" i="55"/>
  <c r="D34" i="55" s="1"/>
  <c r="H34" i="55" s="1"/>
  <c r="I34" i="55" s="1"/>
  <c r="B33" i="55"/>
  <c r="D33" i="55" s="1"/>
  <c r="H33" i="55" s="1"/>
  <c r="I33" i="55" s="1"/>
  <c r="B32" i="55"/>
  <c r="D32" i="55" s="1"/>
  <c r="H32" i="55" s="1"/>
  <c r="I32" i="55" s="1"/>
  <c r="B31" i="55"/>
  <c r="B30" i="55"/>
  <c r="D30" i="55" s="1"/>
  <c r="H30" i="55" s="1"/>
  <c r="I30" i="55" s="1"/>
  <c r="B29" i="55"/>
  <c r="B28" i="55"/>
  <c r="D28" i="55" s="1"/>
  <c r="B27" i="55"/>
  <c r="D27" i="55" s="1"/>
  <c r="B26" i="55"/>
  <c r="D26" i="55" s="1"/>
  <c r="B25" i="55"/>
  <c r="D25" i="55" s="1"/>
  <c r="B24" i="55"/>
  <c r="D24" i="55" s="1"/>
  <c r="B23" i="55"/>
  <c r="D23" i="55" s="1"/>
  <c r="B22" i="55"/>
  <c r="D22" i="55" s="1"/>
  <c r="H22" i="55" s="1"/>
  <c r="I22" i="55" s="1"/>
  <c r="B21" i="55"/>
  <c r="D21" i="55" s="1"/>
  <c r="B20" i="55"/>
  <c r="D20" i="55" s="1"/>
  <c r="E20" i="55" s="1"/>
  <c r="B19" i="55"/>
  <c r="B18" i="55"/>
  <c r="D18" i="55" s="1"/>
  <c r="H18" i="55" s="1"/>
  <c r="I18" i="55" s="1"/>
  <c r="B17" i="55"/>
  <c r="D17" i="55" s="1"/>
  <c r="H17" i="55" s="1"/>
  <c r="I17" i="55" s="1"/>
  <c r="B16" i="55"/>
  <c r="D16" i="55" s="1"/>
  <c r="E16" i="55" s="1"/>
  <c r="M16" i="55" s="1"/>
  <c r="B15" i="55"/>
  <c r="D15" i="55" s="1"/>
  <c r="B14" i="55"/>
  <c r="D14" i="55" s="1"/>
  <c r="B13" i="55"/>
  <c r="D13" i="55" s="1"/>
  <c r="B12" i="55"/>
  <c r="D12" i="55" s="1"/>
  <c r="B11" i="55"/>
  <c r="D11" i="55" s="1"/>
  <c r="E11" i="55" s="1"/>
  <c r="Q11" i="55" s="1"/>
  <c r="B10" i="55"/>
  <c r="D10" i="55" s="1"/>
  <c r="E10" i="55" s="1"/>
  <c r="Q10" i="55" s="1"/>
  <c r="D91" i="55"/>
  <c r="H91" i="55" s="1"/>
  <c r="I91" i="55" s="1"/>
  <c r="D89" i="55"/>
  <c r="H89" i="55" s="1"/>
  <c r="I89" i="55" s="1"/>
  <c r="D79" i="55"/>
  <c r="H79" i="55" s="1"/>
  <c r="I79" i="55" s="1"/>
  <c r="D77" i="55"/>
  <c r="H77" i="55" s="1"/>
  <c r="I77" i="55" s="1"/>
  <c r="D67" i="55"/>
  <c r="H67" i="55" s="1"/>
  <c r="I67" i="55" s="1"/>
  <c r="D65" i="55"/>
  <c r="H65" i="55" s="1"/>
  <c r="I65" i="55" s="1"/>
  <c r="D55" i="55"/>
  <c r="E55" i="55" s="1"/>
  <c r="D53" i="55"/>
  <c r="E53" i="55" s="1"/>
  <c r="Q53" i="55" s="1"/>
  <c r="D43" i="55"/>
  <c r="H43" i="55" s="1"/>
  <c r="I43" i="55" s="1"/>
  <c r="D41" i="55"/>
  <c r="H41" i="55" s="1"/>
  <c r="I41" i="55" s="1"/>
  <c r="D31" i="55"/>
  <c r="E31" i="55" s="1"/>
  <c r="D29" i="55"/>
  <c r="H29" i="55" s="1"/>
  <c r="I29" i="55" s="1"/>
  <c r="D19" i="55"/>
  <c r="H19" i="55" s="1"/>
  <c r="I19" i="55" s="1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U91" i="55" a="1"/>
  <c r="U91" i="55" s="1"/>
  <c r="U90" i="55" a="1"/>
  <c r="U90" i="55" s="1"/>
  <c r="U89" i="55" a="1"/>
  <c r="U89" i="55" s="1"/>
  <c r="U88" i="55" a="1"/>
  <c r="U88" i="55" s="1"/>
  <c r="U87" i="55" a="1"/>
  <c r="U87" i="55" s="1"/>
  <c r="U86" i="55" a="1"/>
  <c r="U86" i="55" s="1"/>
  <c r="U85" i="55" a="1"/>
  <c r="U85" i="55" s="1"/>
  <c r="U84" i="55" a="1"/>
  <c r="U84" i="55" s="1"/>
  <c r="U83" i="55" a="1"/>
  <c r="U83" i="55" s="1"/>
  <c r="U82" i="55" a="1"/>
  <c r="U82" i="55" s="1"/>
  <c r="U81" i="55" a="1"/>
  <c r="U81" i="55" s="1"/>
  <c r="U80" i="55" a="1"/>
  <c r="U80" i="55" s="1"/>
  <c r="U79" i="55" a="1"/>
  <c r="U79" i="55" s="1"/>
  <c r="U78" i="55" a="1"/>
  <c r="U78" i="55" s="1"/>
  <c r="U77" i="55" a="1"/>
  <c r="U77" i="55" s="1"/>
  <c r="U76" i="55" a="1"/>
  <c r="U76" i="55" s="1"/>
  <c r="U75" i="55" a="1"/>
  <c r="U75" i="55" s="1"/>
  <c r="U74" i="55" a="1"/>
  <c r="U74" i="55" s="1"/>
  <c r="U73" i="55" a="1"/>
  <c r="U73" i="55" s="1"/>
  <c r="U72" i="55" a="1"/>
  <c r="U72" i="55" s="1"/>
  <c r="U71" i="55" a="1"/>
  <c r="U71" i="55" s="1"/>
  <c r="U70" i="55" a="1"/>
  <c r="U70" i="55" s="1"/>
  <c r="U69" i="55" a="1"/>
  <c r="U69" i="55" s="1"/>
  <c r="U68" i="55" a="1"/>
  <c r="U68" i="55" s="1"/>
  <c r="U67" i="55" a="1"/>
  <c r="U67" i="55" s="1"/>
  <c r="U66" i="55" a="1"/>
  <c r="U66" i="55" s="1"/>
  <c r="U65" i="55" a="1"/>
  <c r="U65" i="55" s="1"/>
  <c r="U64" i="55" a="1"/>
  <c r="U64" i="55" s="1"/>
  <c r="U63" i="55" a="1"/>
  <c r="U63" i="55" s="1"/>
  <c r="U62" i="55" a="1"/>
  <c r="U62" i="55" s="1"/>
  <c r="U61" i="55" a="1"/>
  <c r="U61" i="55" s="1"/>
  <c r="U60" i="55" a="1"/>
  <c r="U60" i="55" s="1"/>
  <c r="U59" i="55" a="1"/>
  <c r="U59" i="55" s="1"/>
  <c r="U58" i="55" a="1"/>
  <c r="U58" i="55" s="1"/>
  <c r="U57" i="55" a="1"/>
  <c r="U57" i="55" s="1"/>
  <c r="U56" i="55" a="1"/>
  <c r="U56" i="55" s="1"/>
  <c r="U55" i="55" a="1"/>
  <c r="U55" i="55" s="1"/>
  <c r="U54" i="55" a="1"/>
  <c r="U54" i="55" s="1"/>
  <c r="U53" i="55" a="1"/>
  <c r="U53" i="55" s="1"/>
  <c r="U52" i="55" a="1"/>
  <c r="U52" i="55" s="1"/>
  <c r="U51" i="55" a="1"/>
  <c r="U51" i="55" s="1"/>
  <c r="U50" i="55" a="1"/>
  <c r="U50" i="55" s="1"/>
  <c r="U49" i="55" a="1"/>
  <c r="U49" i="55" s="1"/>
  <c r="U48" i="55" a="1"/>
  <c r="U48" i="55" s="1"/>
  <c r="U47" i="55" a="1"/>
  <c r="U47" i="55" s="1"/>
  <c r="U46" i="55" a="1"/>
  <c r="U46" i="55" s="1"/>
  <c r="U45" i="55" a="1"/>
  <c r="U45" i="55" s="1"/>
  <c r="U44" i="55" a="1"/>
  <c r="U44" i="55" s="1"/>
  <c r="U43" i="55" a="1"/>
  <c r="U43" i="55" s="1"/>
  <c r="U42" i="55" a="1"/>
  <c r="U42" i="55" s="1"/>
  <c r="U41" i="55" a="1"/>
  <c r="U41" i="55" s="1"/>
  <c r="U40" i="55" a="1"/>
  <c r="U40" i="55" s="1"/>
  <c r="U39" i="55" a="1"/>
  <c r="U39" i="55" s="1"/>
  <c r="U38" i="55" a="1"/>
  <c r="U38" i="55" s="1"/>
  <c r="U37" i="55" a="1"/>
  <c r="U37" i="55" s="1"/>
  <c r="U36" i="55" a="1"/>
  <c r="U36" i="55" s="1"/>
  <c r="U35" i="55" a="1"/>
  <c r="U35" i="55" s="1"/>
  <c r="U34" i="55" a="1"/>
  <c r="U34" i="55" s="1"/>
  <c r="U33" i="55" a="1"/>
  <c r="U33" i="55" s="1"/>
  <c r="U32" i="55" a="1"/>
  <c r="U32" i="55" s="1"/>
  <c r="U31" i="55" a="1"/>
  <c r="U31" i="55" s="1"/>
  <c r="U30" i="55" a="1"/>
  <c r="U30" i="55" s="1"/>
  <c r="U29" i="55" a="1"/>
  <c r="U29" i="55" s="1"/>
  <c r="U28" i="55" a="1"/>
  <c r="U28" i="55" s="1"/>
  <c r="U27" i="55" a="1"/>
  <c r="U27" i="55" s="1"/>
  <c r="U26" i="55" a="1"/>
  <c r="U26" i="55" s="1"/>
  <c r="U25" i="55" a="1"/>
  <c r="U25" i="55" s="1"/>
  <c r="U24" i="55" a="1"/>
  <c r="U24" i="55" s="1"/>
  <c r="U23" i="55" a="1"/>
  <c r="U23" i="55" s="1"/>
  <c r="U22" i="55" a="1"/>
  <c r="U22" i="55" s="1"/>
  <c r="U21" i="55" a="1"/>
  <c r="U21" i="55" s="1"/>
  <c r="U20" i="55" a="1"/>
  <c r="U20" i="55" s="1"/>
  <c r="U19" i="55" a="1"/>
  <c r="U19" i="55" s="1"/>
  <c r="U18" i="55" a="1"/>
  <c r="U18" i="55" s="1"/>
  <c r="U17" i="55" a="1"/>
  <c r="U17" i="55" s="1"/>
  <c r="U16" i="55" a="1"/>
  <c r="U16" i="55" s="1"/>
  <c r="U15" i="55" a="1"/>
  <c r="U15" i="55" s="1"/>
  <c r="U14" i="55" a="1"/>
  <c r="U14" i="55" s="1"/>
  <c r="U13" i="55" a="1"/>
  <c r="U13" i="55" s="1"/>
  <c r="U12" i="55" a="1"/>
  <c r="U12" i="55" s="1"/>
  <c r="U11" i="55" a="1"/>
  <c r="U11" i="55" s="1"/>
  <c r="U10" i="55" a="1"/>
  <c r="U10" i="55" s="1"/>
  <c r="Q2" i="55"/>
  <c r="S22" i="55"/>
  <c r="S72" i="55"/>
  <c r="S58" i="55"/>
  <c r="S37" i="55"/>
  <c r="S84" i="55"/>
  <c r="S62" i="55"/>
  <c r="S26" i="55"/>
  <c r="S18" i="55"/>
  <c r="S90" i="55"/>
  <c r="S25" i="55"/>
  <c r="S86" i="55"/>
  <c r="S47" i="55"/>
  <c r="S69" i="55"/>
  <c r="S73" i="55"/>
  <c r="S14" i="55"/>
  <c r="S53" i="55"/>
  <c r="S67" i="55"/>
  <c r="S56" i="55"/>
  <c r="S13" i="55"/>
  <c r="S63" i="55"/>
  <c r="S30" i="55"/>
  <c r="S46" i="55"/>
  <c r="S51" i="55"/>
  <c r="S57" i="55"/>
  <c r="S31" i="55"/>
  <c r="S80" i="55"/>
  <c r="S19" i="55"/>
  <c r="S23" i="55"/>
  <c r="S41" i="55"/>
  <c r="S48" i="55"/>
  <c r="S83" i="55"/>
  <c r="S24" i="55"/>
  <c r="S20" i="55"/>
  <c r="S89" i="55"/>
  <c r="S36" i="55"/>
  <c r="S81" i="55"/>
  <c r="S39" i="55"/>
  <c r="S66" i="55"/>
  <c r="S75" i="55"/>
  <c r="S76" i="55"/>
  <c r="S91" i="55"/>
  <c r="S88" i="55"/>
  <c r="S65" i="55"/>
  <c r="S54" i="55"/>
  <c r="S17" i="55"/>
  <c r="S55" i="55"/>
  <c r="S21" i="55"/>
  <c r="S78" i="55"/>
  <c r="S16" i="55"/>
  <c r="S43" i="55"/>
  <c r="S87" i="55"/>
  <c r="S77" i="55"/>
  <c r="S44" i="55"/>
  <c r="S82" i="55"/>
  <c r="S52" i="55"/>
  <c r="S42" i="55"/>
  <c r="S71" i="55"/>
  <c r="S79" i="55"/>
  <c r="S40" i="55"/>
  <c r="S50" i="55"/>
  <c r="S29" i="55"/>
  <c r="S34" i="55"/>
  <c r="S10" i="55"/>
  <c r="S68" i="55"/>
  <c r="S32" i="55"/>
  <c r="S35" i="55"/>
  <c r="S38" i="55"/>
  <c r="S12" i="55"/>
  <c r="S28" i="55"/>
  <c r="S59" i="55"/>
  <c r="S33" i="55"/>
  <c r="S70" i="55"/>
  <c r="S15" i="55"/>
  <c r="S45" i="55"/>
  <c r="S49" i="55"/>
  <c r="S64" i="55"/>
  <c r="S27" i="55"/>
  <c r="S11" i="55"/>
  <c r="S60" i="55"/>
  <c r="S74" i="55"/>
  <c r="S61" i="55"/>
  <c r="S85" i="55"/>
  <c r="E89" i="55" l="1"/>
  <c r="Q89" i="55" s="1"/>
  <c r="E79" i="55"/>
  <c r="K79" i="55" s="1"/>
  <c r="E76" i="55"/>
  <c r="Q76" i="55" s="1"/>
  <c r="E77" i="55"/>
  <c r="Q77" i="55" s="1"/>
  <c r="E67" i="55"/>
  <c r="O67" i="55" s="1"/>
  <c r="E88" i="55"/>
  <c r="Q88" i="55" s="1"/>
  <c r="H60" i="55"/>
  <c r="I60" i="55" s="1"/>
  <c r="E69" i="55"/>
  <c r="Q69" i="55" s="1"/>
  <c r="H69" i="55"/>
  <c r="I69" i="55" s="1"/>
  <c r="E81" i="55"/>
  <c r="Q81" i="55" s="1"/>
  <c r="H81" i="55"/>
  <c r="I81" i="55" s="1"/>
  <c r="H57" i="55"/>
  <c r="I57" i="55" s="1"/>
  <c r="E57" i="55"/>
  <c r="Q57" i="55" s="1"/>
  <c r="H59" i="55"/>
  <c r="I59" i="55" s="1"/>
  <c r="E59" i="55"/>
  <c r="Q59" i="55" s="1"/>
  <c r="E85" i="55"/>
  <c r="O85" i="55" s="1"/>
  <c r="H85" i="55"/>
  <c r="I85" i="55" s="1"/>
  <c r="E21" i="55"/>
  <c r="Q21" i="55" s="1"/>
  <c r="H21" i="55"/>
  <c r="I21" i="55" s="1"/>
  <c r="H47" i="55"/>
  <c r="I47" i="55" s="1"/>
  <c r="E47" i="55"/>
  <c r="Q47" i="55" s="1"/>
  <c r="H52" i="55"/>
  <c r="I52" i="55" s="1"/>
  <c r="E52" i="55"/>
  <c r="Q52" i="55" s="1"/>
  <c r="E23" i="55"/>
  <c r="Q23" i="55" s="1"/>
  <c r="H23" i="55"/>
  <c r="I23" i="55" s="1"/>
  <c r="E84" i="55"/>
  <c r="M84" i="55" s="1"/>
  <c r="H84" i="55"/>
  <c r="I84" i="55" s="1"/>
  <c r="E71" i="55"/>
  <c r="Q71" i="55" s="1"/>
  <c r="H71" i="55"/>
  <c r="I71" i="55" s="1"/>
  <c r="H28" i="55"/>
  <c r="I28" i="55" s="1"/>
  <c r="E28" i="55"/>
  <c r="Q28" i="55" s="1"/>
  <c r="H35" i="55"/>
  <c r="I35" i="55" s="1"/>
  <c r="E41" i="55"/>
  <c r="Q41" i="55" s="1"/>
  <c r="H40" i="55"/>
  <c r="I40" i="55" s="1"/>
  <c r="E19" i="55"/>
  <c r="O19" i="55" s="1"/>
  <c r="E91" i="55"/>
  <c r="K91" i="55" s="1"/>
  <c r="E17" i="55"/>
  <c r="Q17" i="55" s="1"/>
  <c r="E64" i="55"/>
  <c r="Q64" i="55" s="1"/>
  <c r="E65" i="55"/>
  <c r="Q65" i="55" s="1"/>
  <c r="H53" i="55"/>
  <c r="I53" i="55" s="1"/>
  <c r="H72" i="55"/>
  <c r="I72" i="55" s="1"/>
  <c r="K77" i="55"/>
  <c r="M67" i="55"/>
  <c r="H12" i="55"/>
  <c r="I12" i="55" s="1"/>
  <c r="E12" i="55"/>
  <c r="K12" i="55" s="1"/>
  <c r="H24" i="55"/>
  <c r="I24" i="55" s="1"/>
  <c r="E24" i="55"/>
  <c r="K24" i="55" s="1"/>
  <c r="H36" i="55"/>
  <c r="I36" i="55" s="1"/>
  <c r="E36" i="55"/>
  <c r="Q36" i="55" s="1"/>
  <c r="E48" i="55"/>
  <c r="Q48" i="55" s="1"/>
  <c r="H48" i="55"/>
  <c r="I48" i="55" s="1"/>
  <c r="E25" i="55"/>
  <c r="Q25" i="55" s="1"/>
  <c r="H25" i="55"/>
  <c r="I25" i="55" s="1"/>
  <c r="H37" i="55"/>
  <c r="I37" i="55" s="1"/>
  <c r="E37" i="55"/>
  <c r="Q37" i="55" s="1"/>
  <c r="E49" i="55"/>
  <c r="Q49" i="55" s="1"/>
  <c r="H49" i="55"/>
  <c r="I49" i="55" s="1"/>
  <c r="H61" i="55"/>
  <c r="I61" i="55" s="1"/>
  <c r="E61" i="55"/>
  <c r="O61" i="55" s="1"/>
  <c r="E73" i="55"/>
  <c r="M73" i="55" s="1"/>
  <c r="H73" i="55"/>
  <c r="I73" i="55" s="1"/>
  <c r="E38" i="55"/>
  <c r="Q38" i="55" s="1"/>
  <c r="H38" i="55"/>
  <c r="I38" i="55" s="1"/>
  <c r="E50" i="55"/>
  <c r="K50" i="55" s="1"/>
  <c r="H50" i="55"/>
  <c r="I50" i="55" s="1"/>
  <c r="H62" i="55"/>
  <c r="I62" i="55" s="1"/>
  <c r="E62" i="55"/>
  <c r="H74" i="55"/>
  <c r="I74" i="55" s="1"/>
  <c r="E74" i="55"/>
  <c r="M74" i="55" s="1"/>
  <c r="E86" i="55"/>
  <c r="K86" i="55" s="1"/>
  <c r="H86" i="55"/>
  <c r="I86" i="55" s="1"/>
  <c r="H14" i="55"/>
  <c r="I14" i="55" s="1"/>
  <c r="E14" i="55"/>
  <c r="Q14" i="55" s="1"/>
  <c r="E15" i="55"/>
  <c r="H15" i="55"/>
  <c r="I15" i="55" s="1"/>
  <c r="H27" i="55"/>
  <c r="I27" i="55" s="1"/>
  <c r="E27" i="55"/>
  <c r="Q27" i="55" s="1"/>
  <c r="E51" i="55"/>
  <c r="M51" i="55" s="1"/>
  <c r="H51" i="55"/>
  <c r="I51" i="55" s="1"/>
  <c r="E63" i="55"/>
  <c r="Q63" i="55" s="1"/>
  <c r="H63" i="55"/>
  <c r="I63" i="55" s="1"/>
  <c r="H75" i="55"/>
  <c r="I75" i="55" s="1"/>
  <c r="E75" i="55"/>
  <c r="M75" i="55" s="1"/>
  <c r="E87" i="55"/>
  <c r="M87" i="55" s="1"/>
  <c r="H87" i="55"/>
  <c r="I87" i="55" s="1"/>
  <c r="Q55" i="55"/>
  <c r="K55" i="55"/>
  <c r="H39" i="55"/>
  <c r="I39" i="55" s="1"/>
  <c r="E39" i="55"/>
  <c r="K39" i="55" s="1"/>
  <c r="M31" i="55"/>
  <c r="O31" i="55"/>
  <c r="M72" i="55"/>
  <c r="O72" i="55"/>
  <c r="H26" i="55"/>
  <c r="I26" i="55" s="1"/>
  <c r="E26" i="55"/>
  <c r="O26" i="55" s="1"/>
  <c r="H31" i="55"/>
  <c r="I31" i="55" s="1"/>
  <c r="M40" i="55"/>
  <c r="E33" i="55"/>
  <c r="Q33" i="55" s="1"/>
  <c r="H16" i="55"/>
  <c r="I16" i="55" s="1"/>
  <c r="E43" i="55"/>
  <c r="M43" i="55" s="1"/>
  <c r="O40" i="55"/>
  <c r="H55" i="55"/>
  <c r="I55" i="55" s="1"/>
  <c r="E45" i="55"/>
  <c r="Q45" i="55" s="1"/>
  <c r="H66" i="55"/>
  <c r="I66" i="55" s="1"/>
  <c r="H83" i="55"/>
  <c r="I83" i="55" s="1"/>
  <c r="K76" i="55"/>
  <c r="H11" i="55"/>
  <c r="I11" i="55" s="1"/>
  <c r="O88" i="55"/>
  <c r="E29" i="55"/>
  <c r="Q29" i="55" s="1"/>
  <c r="M66" i="55"/>
  <c r="Q66" i="55"/>
  <c r="K54" i="55"/>
  <c r="Q54" i="55"/>
  <c r="M42" i="55"/>
  <c r="Q42" i="55"/>
  <c r="M89" i="55"/>
  <c r="E30" i="55"/>
  <c r="K30" i="55" s="1"/>
  <c r="H54" i="55"/>
  <c r="I54" i="55" s="1"/>
  <c r="H42" i="55"/>
  <c r="I42" i="55" s="1"/>
  <c r="O41" i="55"/>
  <c r="E18" i="55"/>
  <c r="K18" i="55" s="1"/>
  <c r="E90" i="55"/>
  <c r="M90" i="55" s="1"/>
  <c r="E78" i="55"/>
  <c r="Q78" i="55" s="1"/>
  <c r="K53" i="55"/>
  <c r="O89" i="55"/>
  <c r="E22" i="55"/>
  <c r="Q22" i="55" s="1"/>
  <c r="E58" i="55"/>
  <c r="Q58" i="55" s="1"/>
  <c r="Q31" i="55"/>
  <c r="Q67" i="55"/>
  <c r="Q79" i="55"/>
  <c r="E32" i="55"/>
  <c r="Q32" i="55" s="1"/>
  <c r="E68" i="55"/>
  <c r="Q68" i="55" s="1"/>
  <c r="K72" i="55"/>
  <c r="E34" i="55"/>
  <c r="Q34" i="55" s="1"/>
  <c r="E70" i="55"/>
  <c r="Q70" i="55" s="1"/>
  <c r="H20" i="55"/>
  <c r="I20" i="55" s="1"/>
  <c r="Q20" i="55" s="1"/>
  <c r="H44" i="55"/>
  <c r="I44" i="55" s="1"/>
  <c r="Q44" i="55" s="1"/>
  <c r="H56" i="55"/>
  <c r="I56" i="55" s="1"/>
  <c r="Q56" i="55" s="1"/>
  <c r="H80" i="55"/>
  <c r="I80" i="55" s="1"/>
  <c r="Q80" i="55" s="1"/>
  <c r="Q72" i="55"/>
  <c r="H46" i="55"/>
  <c r="I46" i="55" s="1"/>
  <c r="H82" i="55"/>
  <c r="I82" i="55" s="1"/>
  <c r="Q12" i="55"/>
  <c r="Q16" i="55"/>
  <c r="H13" i="55"/>
  <c r="I13" i="55" s="1"/>
  <c r="E13" i="55"/>
  <c r="M13" i="55" s="1"/>
  <c r="H10" i="55"/>
  <c r="I10" i="55" s="1"/>
  <c r="K80" i="55"/>
  <c r="M80" i="55"/>
  <c r="M56" i="55"/>
  <c r="K56" i="55"/>
  <c r="K46" i="55"/>
  <c r="O47" i="55"/>
  <c r="M44" i="55"/>
  <c r="M11" i="55"/>
  <c r="K11" i="55"/>
  <c r="O11" i="55"/>
  <c r="O20" i="55"/>
  <c r="M83" i="55"/>
  <c r="O83" i="55"/>
  <c r="K83" i="55"/>
  <c r="K35" i="55"/>
  <c r="M35" i="55"/>
  <c r="M49" i="55"/>
  <c r="M88" i="55"/>
  <c r="K63" i="55"/>
  <c r="K40" i="55"/>
  <c r="M53" i="55"/>
  <c r="M76" i="55"/>
  <c r="O76" i="55"/>
  <c r="K88" i="55"/>
  <c r="M77" i="55"/>
  <c r="O53" i="55"/>
  <c r="O77" i="55"/>
  <c r="K16" i="55"/>
  <c r="K49" i="55"/>
  <c r="K89" i="55"/>
  <c r="M10" i="55"/>
  <c r="O55" i="55"/>
  <c r="M54" i="55"/>
  <c r="K42" i="55"/>
  <c r="M55" i="55"/>
  <c r="O42" i="55"/>
  <c r="K66" i="55"/>
  <c r="K67" i="55"/>
  <c r="K31" i="55"/>
  <c r="O66" i="55"/>
  <c r="O54" i="55"/>
  <c r="O56" i="55"/>
  <c r="K20" i="55"/>
  <c r="K60" i="55"/>
  <c r="M20" i="55"/>
  <c r="O44" i="55"/>
  <c r="K44" i="55"/>
  <c r="M60" i="55"/>
  <c r="K10" i="55"/>
  <c r="K82" i="55"/>
  <c r="O10" i="55"/>
  <c r="M82" i="55"/>
  <c r="M46" i="55"/>
  <c r="K47" i="55"/>
  <c r="M79" i="55"/>
  <c r="M47" i="55"/>
  <c r="M69" i="55"/>
  <c r="O79" i="55"/>
  <c r="O35" i="55"/>
  <c r="O46" i="55"/>
  <c r="O80" i="55"/>
  <c r="O16" i="55"/>
  <c r="O60" i="55"/>
  <c r="O82" i="55"/>
  <c r="K45" i="55" l="1"/>
  <c r="O45" i="55"/>
  <c r="M22" i="55"/>
  <c r="O12" i="55"/>
  <c r="M81" i="55"/>
  <c r="M63" i="55"/>
  <c r="M12" i="55"/>
  <c r="M45" i="55"/>
  <c r="O49" i="55"/>
  <c r="R49" i="55" s="1"/>
  <c r="T49" i="55" s="1"/>
  <c r="V49" i="55" s="1"/>
  <c r="W49" i="55" s="1"/>
  <c r="O69" i="55"/>
  <c r="K69" i="55"/>
  <c r="O81" i="55"/>
  <c r="K41" i="55"/>
  <c r="K81" i="55"/>
  <c r="O52" i="55"/>
  <c r="K23" i="55"/>
  <c r="Q24" i="55"/>
  <c r="O24" i="55"/>
  <c r="M57" i="55"/>
  <c r="O30" i="55"/>
  <c r="M61" i="55"/>
  <c r="M23" i="55"/>
  <c r="M52" i="55"/>
  <c r="M24" i="55"/>
  <c r="O74" i="55"/>
  <c r="O23" i="55"/>
  <c r="M19" i="55"/>
  <c r="R89" i="55"/>
  <c r="T89" i="55" s="1"/>
  <c r="V89" i="55" s="1"/>
  <c r="W89" i="55" s="1"/>
  <c r="O63" i="55"/>
  <c r="R63" i="55" s="1"/>
  <c r="T63" i="55" s="1"/>
  <c r="V63" i="55" s="1"/>
  <c r="W63" i="55" s="1"/>
  <c r="Q91" i="55"/>
  <c r="M91" i="55"/>
  <c r="M58" i="55"/>
  <c r="M26" i="55"/>
  <c r="K19" i="55"/>
  <c r="O91" i="55"/>
  <c r="O57" i="55"/>
  <c r="M41" i="55"/>
  <c r="O73" i="55"/>
  <c r="Q19" i="55"/>
  <c r="K61" i="55"/>
  <c r="O84" i="55"/>
  <c r="K87" i="55"/>
  <c r="Q61" i="55"/>
  <c r="K52" i="55"/>
  <c r="O75" i="55"/>
  <c r="K17" i="55"/>
  <c r="O48" i="55"/>
  <c r="M36" i="55"/>
  <c r="K64" i="55"/>
  <c r="M34" i="55"/>
  <c r="O34" i="55"/>
  <c r="K57" i="55"/>
  <c r="M17" i="55"/>
  <c r="K84" i="55"/>
  <c r="O17" i="55"/>
  <c r="Q84" i="55"/>
  <c r="K27" i="55"/>
  <c r="O65" i="55"/>
  <c r="K59" i="55"/>
  <c r="M64" i="55"/>
  <c r="K85" i="55"/>
  <c r="M65" i="55"/>
  <c r="M71" i="55"/>
  <c r="Q85" i="55"/>
  <c r="K71" i="55"/>
  <c r="R40" i="55"/>
  <c r="T40" i="55" s="1"/>
  <c r="V40" i="55" s="1"/>
  <c r="W40" i="55" s="1"/>
  <c r="M59" i="55"/>
  <c r="O71" i="55"/>
  <c r="K65" i="55"/>
  <c r="M27" i="55"/>
  <c r="O27" i="55"/>
  <c r="O59" i="55"/>
  <c r="M85" i="55"/>
  <c r="R11" i="55"/>
  <c r="T11" i="55" s="1"/>
  <c r="V11" i="55" s="1"/>
  <c r="W11" i="55" s="1"/>
  <c r="O64" i="55"/>
  <c r="R72" i="55"/>
  <c r="T72" i="55" s="1"/>
  <c r="V72" i="55" s="1"/>
  <c r="W72" i="55" s="1"/>
  <c r="K28" i="55"/>
  <c r="M68" i="55"/>
  <c r="O68" i="55"/>
  <c r="O21" i="55"/>
  <c r="O33" i="55"/>
  <c r="M28" i="55"/>
  <c r="K21" i="55"/>
  <c r="M21" i="55"/>
  <c r="O28" i="55"/>
  <c r="M38" i="55"/>
  <c r="K38" i="55"/>
  <c r="M25" i="55"/>
  <c r="O29" i="55"/>
  <c r="O43" i="55"/>
  <c r="O90" i="55"/>
  <c r="K33" i="55"/>
  <c r="O25" i="55"/>
  <c r="K43" i="55"/>
  <c r="O38" i="55"/>
  <c r="O36" i="55"/>
  <c r="R83" i="55"/>
  <c r="T83" i="55" s="1"/>
  <c r="V83" i="55" s="1"/>
  <c r="W83" i="55" s="1"/>
  <c r="Q43" i="55"/>
  <c r="R88" i="55"/>
  <c r="T88" i="55" s="1"/>
  <c r="V88" i="55" s="1"/>
  <c r="W88" i="55" s="1"/>
  <c r="O50" i="55"/>
  <c r="R77" i="55"/>
  <c r="T77" i="55" s="1"/>
  <c r="V77" i="55" s="1"/>
  <c r="W77" i="55" s="1"/>
  <c r="K36" i="55"/>
  <c r="K14" i="55"/>
  <c r="Q50" i="55"/>
  <c r="M14" i="55"/>
  <c r="O14" i="55"/>
  <c r="K25" i="55"/>
  <c r="M50" i="55"/>
  <c r="Q51" i="55"/>
  <c r="K51" i="55"/>
  <c r="M78" i="55"/>
  <c r="Q39" i="55"/>
  <c r="M39" i="55"/>
  <c r="O39" i="55"/>
  <c r="K15" i="55"/>
  <c r="M15" i="55"/>
  <c r="K48" i="55"/>
  <c r="M48" i="55"/>
  <c r="M62" i="55"/>
  <c r="O62" i="55"/>
  <c r="K29" i="55"/>
  <c r="Q87" i="55"/>
  <c r="O87" i="55"/>
  <c r="Q73" i="55"/>
  <c r="K73" i="55"/>
  <c r="O37" i="55"/>
  <c r="R55" i="55"/>
  <c r="T55" i="55" s="1"/>
  <c r="V55" i="55" s="1"/>
  <c r="W55" i="55" s="1"/>
  <c r="O51" i="55"/>
  <c r="Q26" i="55"/>
  <c r="K26" i="55"/>
  <c r="Q75" i="55"/>
  <c r="K75" i="55"/>
  <c r="M37" i="55"/>
  <c r="O15" i="55"/>
  <c r="K62" i="55"/>
  <c r="Q15" i="55"/>
  <c r="M29" i="55"/>
  <c r="Q86" i="55"/>
  <c r="O86" i="55"/>
  <c r="M86" i="55"/>
  <c r="K78" i="55"/>
  <c r="K32" i="55"/>
  <c r="Q74" i="55"/>
  <c r="K74" i="55"/>
  <c r="O78" i="55"/>
  <c r="K37" i="55"/>
  <c r="M32" i="55"/>
  <c r="M33" i="55"/>
  <c r="Q62" i="55"/>
  <c r="M30" i="55"/>
  <c r="Q30" i="55"/>
  <c r="O18" i="55"/>
  <c r="Q18" i="55"/>
  <c r="R31" i="55"/>
  <c r="T31" i="55" s="1"/>
  <c r="V31" i="55" s="1"/>
  <c r="W31" i="55" s="1"/>
  <c r="R41" i="55"/>
  <c r="T41" i="55" s="1"/>
  <c r="V41" i="55" s="1"/>
  <c r="W41" i="55" s="1"/>
  <c r="O70" i="55"/>
  <c r="K58" i="55"/>
  <c r="O22" i="55"/>
  <c r="M18" i="55"/>
  <c r="K34" i="55"/>
  <c r="K68" i="55"/>
  <c r="R16" i="55"/>
  <c r="T16" i="55" s="1"/>
  <c r="V16" i="55" s="1"/>
  <c r="W16" i="55" s="1"/>
  <c r="K70" i="55"/>
  <c r="O32" i="55"/>
  <c r="M70" i="55"/>
  <c r="O58" i="55"/>
  <c r="R66" i="55"/>
  <c r="T66" i="55" s="1"/>
  <c r="V66" i="55" s="1"/>
  <c r="W66" i="55" s="1"/>
  <c r="K22" i="55"/>
  <c r="K90" i="55"/>
  <c r="Q90" i="55"/>
  <c r="R67" i="55"/>
  <c r="T67" i="55" s="1"/>
  <c r="V67" i="55" s="1"/>
  <c r="W67" i="55" s="1"/>
  <c r="R79" i="55"/>
  <c r="T79" i="55" s="1"/>
  <c r="V79" i="55" s="1"/>
  <c r="W79" i="55" s="1"/>
  <c r="R35" i="55"/>
  <c r="T35" i="55" s="1"/>
  <c r="V35" i="55" s="1"/>
  <c r="W35" i="55" s="1"/>
  <c r="R60" i="55"/>
  <c r="T60" i="55" s="1"/>
  <c r="V60" i="55" s="1"/>
  <c r="W60" i="55" s="1"/>
  <c r="R76" i="55"/>
  <c r="T76" i="55" s="1"/>
  <c r="V76" i="55" s="1"/>
  <c r="W76" i="55" s="1"/>
  <c r="R82" i="55"/>
  <c r="T82" i="55" s="1"/>
  <c r="V82" i="55" s="1"/>
  <c r="W82" i="55" s="1"/>
  <c r="R20" i="55"/>
  <c r="T20" i="55" s="1"/>
  <c r="V20" i="55" s="1"/>
  <c r="W20" i="55" s="1"/>
  <c r="R53" i="55"/>
  <c r="T53" i="55" s="1"/>
  <c r="V53" i="55" s="1"/>
  <c r="W53" i="55" s="1"/>
  <c r="R80" i="55"/>
  <c r="T80" i="55" s="1"/>
  <c r="V80" i="55" s="1"/>
  <c r="W80" i="55" s="1"/>
  <c r="O13" i="55"/>
  <c r="R56" i="55"/>
  <c r="T56" i="55" s="1"/>
  <c r="V56" i="55" s="1"/>
  <c r="W56" i="55" s="1"/>
  <c r="R47" i="55"/>
  <c r="T47" i="55" s="1"/>
  <c r="V47" i="55" s="1"/>
  <c r="W47" i="55" s="1"/>
  <c r="R44" i="55"/>
  <c r="T44" i="55" s="1"/>
  <c r="V44" i="55" s="1"/>
  <c r="W44" i="55" s="1"/>
  <c r="R46" i="55"/>
  <c r="T46" i="55" s="1"/>
  <c r="V46" i="55" s="1"/>
  <c r="W46" i="55" s="1"/>
  <c r="K13" i="55"/>
  <c r="Q13" i="55"/>
  <c r="R10" i="55"/>
  <c r="T10" i="55" s="1"/>
  <c r="V10" i="55" s="1"/>
  <c r="W10" i="55" s="1"/>
  <c r="R54" i="55"/>
  <c r="T54" i="55" s="1"/>
  <c r="V54" i="55" s="1"/>
  <c r="W54" i="55" s="1"/>
  <c r="R42" i="55"/>
  <c r="T42" i="55" s="1"/>
  <c r="V42" i="55" s="1"/>
  <c r="W42" i="55" s="1"/>
  <c r="C2" i="15"/>
  <c r="D2" i="15" s="1"/>
  <c r="E2" i="15" s="1"/>
  <c r="F2" i="15" s="1"/>
  <c r="G2" i="15" s="1"/>
  <c r="H2" i="15" s="1"/>
  <c r="I2" i="15" s="1"/>
  <c r="J2" i="15" s="1"/>
  <c r="K2" i="15" s="1"/>
  <c r="L2" i="15" s="1"/>
  <c r="M2" i="15" s="1"/>
  <c r="N2" i="15" s="1"/>
  <c r="O2" i="15" s="1"/>
  <c r="P2" i="15" s="1"/>
  <c r="Q2" i="15" s="1"/>
  <c r="R2" i="15" s="1"/>
  <c r="S2" i="15" s="1"/>
  <c r="T2" i="15" s="1"/>
  <c r="U2" i="15" s="1"/>
  <c r="V2" i="15" s="1"/>
  <c r="W2" i="15" s="1"/>
  <c r="X2" i="15" s="1"/>
  <c r="Y2" i="15" s="1"/>
  <c r="Z2" i="15" s="1"/>
  <c r="C3" i="15"/>
  <c r="D3" i="15" s="1"/>
  <c r="E3" i="15" s="1"/>
  <c r="F3" i="15" s="1"/>
  <c r="G3" i="15" s="1"/>
  <c r="H3" i="15" s="1"/>
  <c r="I3" i="15" s="1"/>
  <c r="J3" i="15" s="1"/>
  <c r="K3" i="15" s="1"/>
  <c r="L3" i="15" s="1"/>
  <c r="M3" i="15" s="1"/>
  <c r="N3" i="15" s="1"/>
  <c r="O3" i="15" s="1"/>
  <c r="P3" i="15" s="1"/>
  <c r="Q3" i="15" s="1"/>
  <c r="R3" i="15" s="1"/>
  <c r="S3" i="15" s="1"/>
  <c r="T3" i="15" s="1"/>
  <c r="U3" i="15" s="1"/>
  <c r="V3" i="15" s="1"/>
  <c r="W3" i="15" s="1"/>
  <c r="X3" i="15" s="1"/>
  <c r="Y3" i="15" s="1"/>
  <c r="Z3" i="15" s="1"/>
  <c r="C4" i="15"/>
  <c r="D4" i="15" s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Q4" i="15" s="1"/>
  <c r="R4" i="15" s="1"/>
  <c r="S4" i="15" s="1"/>
  <c r="T4" i="15" s="1"/>
  <c r="U4" i="15" s="1"/>
  <c r="V4" i="15" s="1"/>
  <c r="W4" i="15" s="1"/>
  <c r="X4" i="15" s="1"/>
  <c r="Y4" i="15" s="1"/>
  <c r="Z4" i="15" s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S5" i="15" s="1"/>
  <c r="T5" i="15" s="1"/>
  <c r="U5" i="15" s="1"/>
  <c r="V5" i="15" s="1"/>
  <c r="W5" i="15" s="1"/>
  <c r="X5" i="15" s="1"/>
  <c r="Y5" i="15" s="1"/>
  <c r="Z5" i="15" s="1"/>
  <c r="C6" i="15"/>
  <c r="D6" i="15" s="1"/>
  <c r="E6" i="15" s="1"/>
  <c r="F6" i="15" s="1"/>
  <c r="G6" i="15" s="1"/>
  <c r="H6" i="15" s="1"/>
  <c r="I6" i="15" s="1"/>
  <c r="J6" i="15" s="1"/>
  <c r="K6" i="15" s="1"/>
  <c r="L6" i="15" s="1"/>
  <c r="M6" i="15" s="1"/>
  <c r="N6" i="15" s="1"/>
  <c r="O6" i="15" s="1"/>
  <c r="P6" i="15" s="1"/>
  <c r="Q6" i="15" s="1"/>
  <c r="R6" i="15" s="1"/>
  <c r="S6" i="15" s="1"/>
  <c r="T6" i="15" s="1"/>
  <c r="U6" i="15" s="1"/>
  <c r="V6" i="15" s="1"/>
  <c r="W6" i="15" s="1"/>
  <c r="X6" i="15" s="1"/>
  <c r="Y6" i="15" s="1"/>
  <c r="Z6" i="15" s="1"/>
  <c r="C7" i="15"/>
  <c r="D7" i="15" s="1"/>
  <c r="E7" i="15" s="1"/>
  <c r="F7" i="15" s="1"/>
  <c r="G7" i="15" s="1"/>
  <c r="H7" i="15" s="1"/>
  <c r="I7" i="15" s="1"/>
  <c r="J7" i="15" s="1"/>
  <c r="K7" i="15" s="1"/>
  <c r="L7" i="15" s="1"/>
  <c r="M7" i="15" s="1"/>
  <c r="N7" i="15" s="1"/>
  <c r="O7" i="15" s="1"/>
  <c r="P7" i="15" s="1"/>
  <c r="Q7" i="15" s="1"/>
  <c r="R7" i="15" s="1"/>
  <c r="S7" i="15" s="1"/>
  <c r="T7" i="15" s="1"/>
  <c r="U7" i="15" s="1"/>
  <c r="V7" i="15" s="1"/>
  <c r="W7" i="15" s="1"/>
  <c r="X7" i="15" s="1"/>
  <c r="Y7" i="15" s="1"/>
  <c r="Z7" i="15" s="1"/>
  <c r="C8" i="15"/>
  <c r="D8" i="15" s="1"/>
  <c r="E8" i="15" s="1"/>
  <c r="F8" i="15" s="1"/>
  <c r="G8" i="15" s="1"/>
  <c r="H8" i="15" s="1"/>
  <c r="I8" i="15" s="1"/>
  <c r="J8" i="15" s="1"/>
  <c r="K8" i="15" s="1"/>
  <c r="L8" i="15" s="1"/>
  <c r="M8" i="15" s="1"/>
  <c r="N8" i="15" s="1"/>
  <c r="O8" i="15" s="1"/>
  <c r="P8" i="15" s="1"/>
  <c r="Q8" i="15" s="1"/>
  <c r="R8" i="15" s="1"/>
  <c r="S8" i="15" s="1"/>
  <c r="T8" i="15" s="1"/>
  <c r="U8" i="15" s="1"/>
  <c r="V8" i="15" s="1"/>
  <c r="W8" i="15" s="1"/>
  <c r="X8" i="15" s="1"/>
  <c r="Y8" i="15" s="1"/>
  <c r="Z8" i="15" s="1"/>
  <c r="C9" i="15"/>
  <c r="D9" i="15" s="1"/>
  <c r="E9" i="15" s="1"/>
  <c r="F9" i="15" s="1"/>
  <c r="G9" i="15" s="1"/>
  <c r="H9" i="15" s="1"/>
  <c r="I9" i="15" s="1"/>
  <c r="J9" i="15" s="1"/>
  <c r="K9" i="15" s="1"/>
  <c r="L9" i="15" s="1"/>
  <c r="M9" i="15" s="1"/>
  <c r="N9" i="15" s="1"/>
  <c r="O9" i="15" s="1"/>
  <c r="P9" i="15" s="1"/>
  <c r="Q9" i="15" s="1"/>
  <c r="R9" i="15" s="1"/>
  <c r="S9" i="15" s="1"/>
  <c r="T9" i="15" s="1"/>
  <c r="U9" i="15" s="1"/>
  <c r="V9" i="15" s="1"/>
  <c r="W9" i="15" s="1"/>
  <c r="X9" i="15" s="1"/>
  <c r="Y9" i="15" s="1"/>
  <c r="Z9" i="15" s="1"/>
  <c r="C10" i="15"/>
  <c r="D10" i="15" s="1"/>
  <c r="E10" i="15" s="1"/>
  <c r="F10" i="15" s="1"/>
  <c r="G10" i="15" s="1"/>
  <c r="H10" i="15" s="1"/>
  <c r="I10" i="15" s="1"/>
  <c r="J10" i="15" s="1"/>
  <c r="K10" i="15" s="1"/>
  <c r="L10" i="15" s="1"/>
  <c r="M10" i="15" s="1"/>
  <c r="N10" i="15" s="1"/>
  <c r="O10" i="15" s="1"/>
  <c r="P10" i="15" s="1"/>
  <c r="Q10" i="15" s="1"/>
  <c r="R10" i="15" s="1"/>
  <c r="S10" i="15" s="1"/>
  <c r="T10" i="15" s="1"/>
  <c r="U10" i="15" s="1"/>
  <c r="V10" i="15" s="1"/>
  <c r="W10" i="15" s="1"/>
  <c r="X10" i="15" s="1"/>
  <c r="Y10" i="15" s="1"/>
  <c r="Z10" i="15" s="1"/>
  <c r="C11" i="15"/>
  <c r="D11" i="15" s="1"/>
  <c r="E11" i="15" s="1"/>
  <c r="F11" i="15" s="1"/>
  <c r="G11" i="15" s="1"/>
  <c r="H11" i="15" s="1"/>
  <c r="I11" i="15" s="1"/>
  <c r="J11" i="15" s="1"/>
  <c r="K11" i="15" s="1"/>
  <c r="L11" i="15" s="1"/>
  <c r="M11" i="15" s="1"/>
  <c r="N11" i="15" s="1"/>
  <c r="O11" i="15" s="1"/>
  <c r="P11" i="15" s="1"/>
  <c r="Q11" i="15" s="1"/>
  <c r="R11" i="15" s="1"/>
  <c r="S11" i="15" s="1"/>
  <c r="T11" i="15" s="1"/>
  <c r="U11" i="15" s="1"/>
  <c r="V11" i="15" s="1"/>
  <c r="W11" i="15" s="1"/>
  <c r="X11" i="15" s="1"/>
  <c r="Y11" i="15" s="1"/>
  <c r="Z11" i="15" s="1"/>
  <c r="C12" i="15"/>
  <c r="D12" i="15" s="1"/>
  <c r="E12" i="15" s="1"/>
  <c r="F12" i="15" s="1"/>
  <c r="G12" i="15" s="1"/>
  <c r="H12" i="15" s="1"/>
  <c r="I12" i="15" s="1"/>
  <c r="J12" i="15" s="1"/>
  <c r="K12" i="15" s="1"/>
  <c r="L12" i="15" s="1"/>
  <c r="M12" i="15" s="1"/>
  <c r="N12" i="15" s="1"/>
  <c r="O12" i="15" s="1"/>
  <c r="P12" i="15" s="1"/>
  <c r="Q12" i="15" s="1"/>
  <c r="R12" i="15" s="1"/>
  <c r="S12" i="15" s="1"/>
  <c r="T12" i="15" s="1"/>
  <c r="U12" i="15" s="1"/>
  <c r="V12" i="15" s="1"/>
  <c r="W12" i="15" s="1"/>
  <c r="X12" i="15" s="1"/>
  <c r="Y12" i="15" s="1"/>
  <c r="Z12" i="15" s="1"/>
  <c r="C13" i="15"/>
  <c r="D13" i="15" s="1"/>
  <c r="E13" i="15" s="1"/>
  <c r="F13" i="15" s="1"/>
  <c r="G13" i="15" s="1"/>
  <c r="H13" i="15" s="1"/>
  <c r="I13" i="15" s="1"/>
  <c r="J13" i="15" s="1"/>
  <c r="K13" i="15" s="1"/>
  <c r="L13" i="15" s="1"/>
  <c r="M13" i="15" s="1"/>
  <c r="N13" i="15" s="1"/>
  <c r="O13" i="15" s="1"/>
  <c r="P13" i="15" s="1"/>
  <c r="Q13" i="15" s="1"/>
  <c r="R13" i="15" s="1"/>
  <c r="S13" i="15" s="1"/>
  <c r="T13" i="15" s="1"/>
  <c r="U13" i="15" s="1"/>
  <c r="V13" i="15" s="1"/>
  <c r="W13" i="15" s="1"/>
  <c r="X13" i="15" s="1"/>
  <c r="Y13" i="15" s="1"/>
  <c r="Z13" i="15" s="1"/>
  <c r="C14" i="15"/>
  <c r="D14" i="15" s="1"/>
  <c r="E14" i="15" s="1"/>
  <c r="F14" i="15" s="1"/>
  <c r="G14" i="15" s="1"/>
  <c r="H14" i="15" s="1"/>
  <c r="I14" i="15" s="1"/>
  <c r="J14" i="15" s="1"/>
  <c r="K14" i="15" s="1"/>
  <c r="L14" i="15" s="1"/>
  <c r="M14" i="15" s="1"/>
  <c r="N14" i="15" s="1"/>
  <c r="O14" i="15" s="1"/>
  <c r="P14" i="15" s="1"/>
  <c r="Q14" i="15" s="1"/>
  <c r="R14" i="15" s="1"/>
  <c r="S14" i="15" s="1"/>
  <c r="T14" i="15" s="1"/>
  <c r="U14" i="15" s="1"/>
  <c r="V14" i="15" s="1"/>
  <c r="W14" i="15" s="1"/>
  <c r="X14" i="15" s="1"/>
  <c r="Y14" i="15" s="1"/>
  <c r="Z14" i="15" s="1"/>
  <c r="C15" i="15"/>
  <c r="D15" i="15" s="1"/>
  <c r="E15" i="15" s="1"/>
  <c r="F15" i="15" s="1"/>
  <c r="G15" i="15" s="1"/>
  <c r="H15" i="15" s="1"/>
  <c r="I15" i="15" s="1"/>
  <c r="J15" i="15" s="1"/>
  <c r="K15" i="15" s="1"/>
  <c r="L15" i="15" s="1"/>
  <c r="M15" i="15" s="1"/>
  <c r="N15" i="15" s="1"/>
  <c r="O15" i="15" s="1"/>
  <c r="P15" i="15" s="1"/>
  <c r="Q15" i="15" s="1"/>
  <c r="R15" i="15" s="1"/>
  <c r="S15" i="15" s="1"/>
  <c r="T15" i="15" s="1"/>
  <c r="U15" i="15" s="1"/>
  <c r="V15" i="15" s="1"/>
  <c r="W15" i="15" s="1"/>
  <c r="X15" i="15" s="1"/>
  <c r="Y15" i="15" s="1"/>
  <c r="Z15" i="15" s="1"/>
  <c r="C16" i="15"/>
  <c r="D16" i="15" s="1"/>
  <c r="E16" i="15" s="1"/>
  <c r="F16" i="15" s="1"/>
  <c r="G16" i="15" s="1"/>
  <c r="H16" i="15" s="1"/>
  <c r="I16" i="15" s="1"/>
  <c r="J16" i="15" s="1"/>
  <c r="K16" i="15" s="1"/>
  <c r="L16" i="15" s="1"/>
  <c r="M16" i="15" s="1"/>
  <c r="N16" i="15" s="1"/>
  <c r="O16" i="15" s="1"/>
  <c r="P16" i="15" s="1"/>
  <c r="Q16" i="15" s="1"/>
  <c r="R16" i="15" s="1"/>
  <c r="S16" i="15" s="1"/>
  <c r="T16" i="15" s="1"/>
  <c r="U16" i="15" s="1"/>
  <c r="V16" i="15" s="1"/>
  <c r="W16" i="15" s="1"/>
  <c r="X16" i="15" s="1"/>
  <c r="Y16" i="15" s="1"/>
  <c r="Z16" i="15" s="1"/>
  <c r="C17" i="15"/>
  <c r="D17" i="15" s="1"/>
  <c r="E17" i="15" s="1"/>
  <c r="F17" i="15" s="1"/>
  <c r="G17" i="15" s="1"/>
  <c r="H17" i="15" s="1"/>
  <c r="I17" i="15" s="1"/>
  <c r="J17" i="15" s="1"/>
  <c r="K17" i="15" s="1"/>
  <c r="L17" i="15" s="1"/>
  <c r="M17" i="15" s="1"/>
  <c r="N17" i="15" s="1"/>
  <c r="O17" i="15" s="1"/>
  <c r="P17" i="15" s="1"/>
  <c r="Q17" i="15" s="1"/>
  <c r="R17" i="15" s="1"/>
  <c r="S17" i="15" s="1"/>
  <c r="T17" i="15" s="1"/>
  <c r="U17" i="15" s="1"/>
  <c r="V17" i="15" s="1"/>
  <c r="W17" i="15" s="1"/>
  <c r="X17" i="15" s="1"/>
  <c r="Y17" i="15" s="1"/>
  <c r="Z17" i="15" s="1"/>
  <c r="C18" i="15"/>
  <c r="D18" i="15" s="1"/>
  <c r="E18" i="15" s="1"/>
  <c r="F18" i="15" s="1"/>
  <c r="G18" i="15" s="1"/>
  <c r="H18" i="15" s="1"/>
  <c r="I18" i="15" s="1"/>
  <c r="J18" i="15" s="1"/>
  <c r="K18" i="15" s="1"/>
  <c r="L18" i="15" s="1"/>
  <c r="M18" i="15" s="1"/>
  <c r="N18" i="15" s="1"/>
  <c r="O18" i="15" s="1"/>
  <c r="P18" i="15" s="1"/>
  <c r="Q18" i="15" s="1"/>
  <c r="R18" i="15" s="1"/>
  <c r="S18" i="15" s="1"/>
  <c r="T18" i="15" s="1"/>
  <c r="U18" i="15" s="1"/>
  <c r="V18" i="15" s="1"/>
  <c r="W18" i="15" s="1"/>
  <c r="X18" i="15" s="1"/>
  <c r="Y18" i="15" s="1"/>
  <c r="Z18" i="15" s="1"/>
  <c r="C19" i="15"/>
  <c r="D19" i="15" s="1"/>
  <c r="E19" i="15" s="1"/>
  <c r="F19" i="15" s="1"/>
  <c r="G19" i="15" s="1"/>
  <c r="H19" i="15" s="1"/>
  <c r="I19" i="15" s="1"/>
  <c r="J19" i="15" s="1"/>
  <c r="K19" i="15" s="1"/>
  <c r="L19" i="15" s="1"/>
  <c r="M19" i="15" s="1"/>
  <c r="N19" i="15" s="1"/>
  <c r="O19" i="15" s="1"/>
  <c r="P19" i="15" s="1"/>
  <c r="Q19" i="15" s="1"/>
  <c r="R19" i="15" s="1"/>
  <c r="S19" i="15" s="1"/>
  <c r="T19" i="15" s="1"/>
  <c r="U19" i="15" s="1"/>
  <c r="V19" i="15" s="1"/>
  <c r="W19" i="15" s="1"/>
  <c r="X19" i="15" s="1"/>
  <c r="Y19" i="15" s="1"/>
  <c r="Z19" i="15" s="1"/>
  <c r="C20" i="15"/>
  <c r="D20" i="15" s="1"/>
  <c r="E20" i="15" s="1"/>
  <c r="F20" i="15" s="1"/>
  <c r="G20" i="15" s="1"/>
  <c r="H20" i="15" s="1"/>
  <c r="I20" i="15" s="1"/>
  <c r="J20" i="15" s="1"/>
  <c r="K20" i="15" s="1"/>
  <c r="L20" i="15" s="1"/>
  <c r="M20" i="15" s="1"/>
  <c r="N20" i="15" s="1"/>
  <c r="O20" i="15" s="1"/>
  <c r="P20" i="15" s="1"/>
  <c r="Q20" i="15" s="1"/>
  <c r="R20" i="15" s="1"/>
  <c r="S20" i="15" s="1"/>
  <c r="T20" i="15" s="1"/>
  <c r="U20" i="15" s="1"/>
  <c r="V20" i="15" s="1"/>
  <c r="W20" i="15" s="1"/>
  <c r="X20" i="15" s="1"/>
  <c r="Y20" i="15" s="1"/>
  <c r="Z20" i="15" s="1"/>
  <c r="C21" i="15"/>
  <c r="D21" i="15" s="1"/>
  <c r="E21" i="15" s="1"/>
  <c r="F21" i="15" s="1"/>
  <c r="G21" i="15" s="1"/>
  <c r="H21" i="15" s="1"/>
  <c r="I21" i="15" s="1"/>
  <c r="J21" i="15" s="1"/>
  <c r="K21" i="15" s="1"/>
  <c r="L21" i="15" s="1"/>
  <c r="M21" i="15" s="1"/>
  <c r="N21" i="15" s="1"/>
  <c r="O21" i="15" s="1"/>
  <c r="P21" i="15" s="1"/>
  <c r="Q21" i="15" s="1"/>
  <c r="R21" i="15" s="1"/>
  <c r="S21" i="15" s="1"/>
  <c r="T21" i="15" s="1"/>
  <c r="U21" i="15" s="1"/>
  <c r="V21" i="15" s="1"/>
  <c r="W21" i="15" s="1"/>
  <c r="X21" i="15" s="1"/>
  <c r="Y21" i="15" s="1"/>
  <c r="Z21" i="15" s="1"/>
  <c r="C22" i="15"/>
  <c r="D22" i="15" s="1"/>
  <c r="E22" i="15" s="1"/>
  <c r="F22" i="15" s="1"/>
  <c r="G22" i="15" s="1"/>
  <c r="H22" i="15" s="1"/>
  <c r="I22" i="15" s="1"/>
  <c r="J22" i="15" s="1"/>
  <c r="K22" i="15" s="1"/>
  <c r="L22" i="15" s="1"/>
  <c r="M22" i="15" s="1"/>
  <c r="N22" i="15" s="1"/>
  <c r="O22" i="15" s="1"/>
  <c r="P22" i="15" s="1"/>
  <c r="Q22" i="15" s="1"/>
  <c r="R22" i="15" s="1"/>
  <c r="S22" i="15" s="1"/>
  <c r="T22" i="15" s="1"/>
  <c r="U22" i="15" s="1"/>
  <c r="V22" i="15" s="1"/>
  <c r="W22" i="15" s="1"/>
  <c r="X22" i="15" s="1"/>
  <c r="Y22" i="15" s="1"/>
  <c r="Z22" i="15" s="1"/>
  <c r="C23" i="15"/>
  <c r="D23" i="15" s="1"/>
  <c r="E23" i="15" s="1"/>
  <c r="F23" i="15" s="1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S23" i="15" s="1"/>
  <c r="T23" i="15" s="1"/>
  <c r="U23" i="15" s="1"/>
  <c r="V23" i="15" s="1"/>
  <c r="W23" i="15" s="1"/>
  <c r="X23" i="15" s="1"/>
  <c r="Y23" i="15" s="1"/>
  <c r="Z23" i="15" s="1"/>
  <c r="C24" i="15"/>
  <c r="D24" i="15" s="1"/>
  <c r="E24" i="15" s="1"/>
  <c r="F24" i="15" s="1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S24" i="15" s="1"/>
  <c r="T24" i="15" s="1"/>
  <c r="U24" i="15" s="1"/>
  <c r="V24" i="15" s="1"/>
  <c r="W24" i="15" s="1"/>
  <c r="X24" i="15" s="1"/>
  <c r="Y24" i="15" s="1"/>
  <c r="Z24" i="15" s="1"/>
  <c r="C25" i="15"/>
  <c r="D25" i="15" s="1"/>
  <c r="E25" i="15" s="1"/>
  <c r="F25" i="15" s="1"/>
  <c r="G25" i="15" s="1"/>
  <c r="H25" i="15" s="1"/>
  <c r="I25" i="15" s="1"/>
  <c r="J25" i="15" s="1"/>
  <c r="K25" i="15" s="1"/>
  <c r="L25" i="15" s="1"/>
  <c r="M25" i="15" s="1"/>
  <c r="N25" i="15" s="1"/>
  <c r="O25" i="15" s="1"/>
  <c r="P25" i="15" s="1"/>
  <c r="Q25" i="15" s="1"/>
  <c r="R25" i="15" s="1"/>
  <c r="S25" i="15" s="1"/>
  <c r="T25" i="15" s="1"/>
  <c r="U25" i="15" s="1"/>
  <c r="V25" i="15" s="1"/>
  <c r="W25" i="15" s="1"/>
  <c r="X25" i="15" s="1"/>
  <c r="Y25" i="15" s="1"/>
  <c r="Z25" i="15" s="1"/>
  <c r="C26" i="15"/>
  <c r="D26" i="15" s="1"/>
  <c r="E26" i="15" s="1"/>
  <c r="F26" i="15" s="1"/>
  <c r="G26" i="15" s="1"/>
  <c r="H26" i="15" s="1"/>
  <c r="I26" i="15" s="1"/>
  <c r="J26" i="15" s="1"/>
  <c r="K26" i="15" s="1"/>
  <c r="L26" i="15" s="1"/>
  <c r="M26" i="15" s="1"/>
  <c r="N26" i="15" s="1"/>
  <c r="O26" i="15" s="1"/>
  <c r="P26" i="15" s="1"/>
  <c r="Q26" i="15" s="1"/>
  <c r="R26" i="15" s="1"/>
  <c r="S26" i="15" s="1"/>
  <c r="T26" i="15" s="1"/>
  <c r="U26" i="15" s="1"/>
  <c r="V26" i="15" s="1"/>
  <c r="W26" i="15" s="1"/>
  <c r="X26" i="15" s="1"/>
  <c r="Y26" i="15" s="1"/>
  <c r="Z26" i="15" s="1"/>
  <c r="C27" i="15"/>
  <c r="D27" i="15" s="1"/>
  <c r="E27" i="15" s="1"/>
  <c r="F27" i="15" s="1"/>
  <c r="G27" i="15" s="1"/>
  <c r="H27" i="15" s="1"/>
  <c r="I27" i="15" s="1"/>
  <c r="J27" i="15" s="1"/>
  <c r="K27" i="15" s="1"/>
  <c r="L27" i="15" s="1"/>
  <c r="M27" i="15" s="1"/>
  <c r="N27" i="15" s="1"/>
  <c r="O27" i="15" s="1"/>
  <c r="P27" i="15" s="1"/>
  <c r="Q27" i="15" s="1"/>
  <c r="R27" i="15" s="1"/>
  <c r="S27" i="15" s="1"/>
  <c r="T27" i="15" s="1"/>
  <c r="U27" i="15" s="1"/>
  <c r="V27" i="15" s="1"/>
  <c r="W27" i="15" s="1"/>
  <c r="X27" i="15" s="1"/>
  <c r="Y27" i="15" s="1"/>
  <c r="Z27" i="15" s="1"/>
  <c r="C28" i="15"/>
  <c r="D28" i="15" s="1"/>
  <c r="E28" i="15" s="1"/>
  <c r="F28" i="15" s="1"/>
  <c r="G28" i="15" s="1"/>
  <c r="H28" i="15" s="1"/>
  <c r="I28" i="15" s="1"/>
  <c r="J28" i="15" s="1"/>
  <c r="K28" i="15" s="1"/>
  <c r="L28" i="15" s="1"/>
  <c r="M28" i="15" s="1"/>
  <c r="N28" i="15" s="1"/>
  <c r="O28" i="15" s="1"/>
  <c r="P28" i="15" s="1"/>
  <c r="Q28" i="15" s="1"/>
  <c r="R28" i="15" s="1"/>
  <c r="S28" i="15" s="1"/>
  <c r="T28" i="15" s="1"/>
  <c r="U28" i="15" s="1"/>
  <c r="V28" i="15" s="1"/>
  <c r="W28" i="15" s="1"/>
  <c r="X28" i="15" s="1"/>
  <c r="Y28" i="15" s="1"/>
  <c r="Z28" i="15" s="1"/>
  <c r="C29" i="15"/>
  <c r="D29" i="15" s="1"/>
  <c r="E29" i="15" s="1"/>
  <c r="F29" i="15" s="1"/>
  <c r="G29" i="15" s="1"/>
  <c r="H29" i="15" s="1"/>
  <c r="I29" i="15" s="1"/>
  <c r="J29" i="15" s="1"/>
  <c r="K29" i="15" s="1"/>
  <c r="L29" i="15" s="1"/>
  <c r="M29" i="15" s="1"/>
  <c r="N29" i="15" s="1"/>
  <c r="O29" i="15" s="1"/>
  <c r="P29" i="15" s="1"/>
  <c r="Q29" i="15" s="1"/>
  <c r="R29" i="15" s="1"/>
  <c r="S29" i="15" s="1"/>
  <c r="T29" i="15" s="1"/>
  <c r="U29" i="15" s="1"/>
  <c r="V29" i="15" s="1"/>
  <c r="W29" i="15" s="1"/>
  <c r="X29" i="15" s="1"/>
  <c r="Y29" i="15" s="1"/>
  <c r="Z29" i="15" s="1"/>
  <c r="C30" i="15"/>
  <c r="D30" i="15" s="1"/>
  <c r="E30" i="15" s="1"/>
  <c r="F30" i="15" s="1"/>
  <c r="G30" i="15" s="1"/>
  <c r="H30" i="15" s="1"/>
  <c r="I30" i="15" s="1"/>
  <c r="J30" i="15" s="1"/>
  <c r="K30" i="15" s="1"/>
  <c r="L30" i="15" s="1"/>
  <c r="M30" i="15" s="1"/>
  <c r="N30" i="15" s="1"/>
  <c r="O30" i="15" s="1"/>
  <c r="P30" i="15" s="1"/>
  <c r="Q30" i="15" s="1"/>
  <c r="R30" i="15" s="1"/>
  <c r="S30" i="15" s="1"/>
  <c r="T30" i="15" s="1"/>
  <c r="U30" i="15" s="1"/>
  <c r="V30" i="15" s="1"/>
  <c r="W30" i="15" s="1"/>
  <c r="X30" i="15" s="1"/>
  <c r="Y30" i="15" s="1"/>
  <c r="Z30" i="15" s="1"/>
  <c r="C31" i="15"/>
  <c r="D31" i="15" s="1"/>
  <c r="E31" i="15" s="1"/>
  <c r="F31" i="15" s="1"/>
  <c r="G31" i="15" s="1"/>
  <c r="H31" i="15" s="1"/>
  <c r="I31" i="15" s="1"/>
  <c r="J31" i="15" s="1"/>
  <c r="K31" i="15" s="1"/>
  <c r="L31" i="15" s="1"/>
  <c r="M31" i="15" s="1"/>
  <c r="N31" i="15" s="1"/>
  <c r="O31" i="15" s="1"/>
  <c r="P31" i="15" s="1"/>
  <c r="Q31" i="15" s="1"/>
  <c r="R31" i="15" s="1"/>
  <c r="S31" i="15" s="1"/>
  <c r="T31" i="15" s="1"/>
  <c r="U31" i="15" s="1"/>
  <c r="V31" i="15" s="1"/>
  <c r="W31" i="15" s="1"/>
  <c r="X31" i="15" s="1"/>
  <c r="Y31" i="15" s="1"/>
  <c r="Z31" i="15" s="1"/>
  <c r="C32" i="15"/>
  <c r="D32" i="15" s="1"/>
  <c r="E32" i="15" s="1"/>
  <c r="F32" i="15" s="1"/>
  <c r="G32" i="15" s="1"/>
  <c r="H32" i="15" s="1"/>
  <c r="I32" i="15" s="1"/>
  <c r="J32" i="15" s="1"/>
  <c r="K32" i="15" s="1"/>
  <c r="L32" i="15" s="1"/>
  <c r="M32" i="15" s="1"/>
  <c r="N32" i="15" s="1"/>
  <c r="O32" i="15" s="1"/>
  <c r="P32" i="15" s="1"/>
  <c r="Q32" i="15" s="1"/>
  <c r="R32" i="15" s="1"/>
  <c r="S32" i="15" s="1"/>
  <c r="T32" i="15" s="1"/>
  <c r="U32" i="15" s="1"/>
  <c r="V32" i="15" s="1"/>
  <c r="W32" i="15" s="1"/>
  <c r="X32" i="15" s="1"/>
  <c r="Y32" i="15" s="1"/>
  <c r="Z32" i="15" s="1"/>
  <c r="C33" i="15"/>
  <c r="D33" i="15" s="1"/>
  <c r="E33" i="15" s="1"/>
  <c r="F33" i="15" s="1"/>
  <c r="G33" i="15" s="1"/>
  <c r="H33" i="15" s="1"/>
  <c r="I33" i="15" s="1"/>
  <c r="J33" i="15" s="1"/>
  <c r="K33" i="15" s="1"/>
  <c r="L33" i="15" s="1"/>
  <c r="M33" i="15" s="1"/>
  <c r="N33" i="15" s="1"/>
  <c r="O33" i="15" s="1"/>
  <c r="P33" i="15" s="1"/>
  <c r="Q33" i="15" s="1"/>
  <c r="R33" i="15" s="1"/>
  <c r="S33" i="15" s="1"/>
  <c r="T33" i="15" s="1"/>
  <c r="U33" i="15" s="1"/>
  <c r="V33" i="15" s="1"/>
  <c r="W33" i="15" s="1"/>
  <c r="X33" i="15" s="1"/>
  <c r="Y33" i="15" s="1"/>
  <c r="Z33" i="15" s="1"/>
  <c r="C34" i="15"/>
  <c r="D34" i="15" s="1"/>
  <c r="E34" i="15" s="1"/>
  <c r="F34" i="15" s="1"/>
  <c r="G34" i="15" s="1"/>
  <c r="H34" i="15" s="1"/>
  <c r="I34" i="15" s="1"/>
  <c r="J34" i="15" s="1"/>
  <c r="K34" i="15" s="1"/>
  <c r="L34" i="15" s="1"/>
  <c r="M34" i="15" s="1"/>
  <c r="N34" i="15" s="1"/>
  <c r="O34" i="15" s="1"/>
  <c r="P34" i="15" s="1"/>
  <c r="Q34" i="15" s="1"/>
  <c r="R34" i="15" s="1"/>
  <c r="S34" i="15" s="1"/>
  <c r="T34" i="15" s="1"/>
  <c r="U34" i="15" s="1"/>
  <c r="V34" i="15" s="1"/>
  <c r="W34" i="15" s="1"/>
  <c r="X34" i="15" s="1"/>
  <c r="Y34" i="15" s="1"/>
  <c r="Z34" i="15" s="1"/>
  <c r="C35" i="15"/>
  <c r="D35" i="15" s="1"/>
  <c r="E35" i="15" s="1"/>
  <c r="F35" i="15" s="1"/>
  <c r="G35" i="15" s="1"/>
  <c r="H35" i="15" s="1"/>
  <c r="I35" i="15" s="1"/>
  <c r="J35" i="15" s="1"/>
  <c r="K35" i="15" s="1"/>
  <c r="L35" i="15" s="1"/>
  <c r="M35" i="15" s="1"/>
  <c r="N35" i="15" s="1"/>
  <c r="O35" i="15" s="1"/>
  <c r="P35" i="15" s="1"/>
  <c r="Q35" i="15" s="1"/>
  <c r="R35" i="15" s="1"/>
  <c r="S35" i="15" s="1"/>
  <c r="T35" i="15" s="1"/>
  <c r="U35" i="15" s="1"/>
  <c r="V35" i="15" s="1"/>
  <c r="W35" i="15" s="1"/>
  <c r="X35" i="15" s="1"/>
  <c r="Y35" i="15" s="1"/>
  <c r="Z35" i="15" s="1"/>
  <c r="C36" i="15"/>
  <c r="D36" i="15" s="1"/>
  <c r="E36" i="15" s="1"/>
  <c r="F36" i="15" s="1"/>
  <c r="G36" i="15" s="1"/>
  <c r="H36" i="15" s="1"/>
  <c r="I36" i="15" s="1"/>
  <c r="J36" i="15" s="1"/>
  <c r="K36" i="15" s="1"/>
  <c r="L36" i="15" s="1"/>
  <c r="M36" i="15" s="1"/>
  <c r="N36" i="15" s="1"/>
  <c r="O36" i="15" s="1"/>
  <c r="P36" i="15" s="1"/>
  <c r="Q36" i="15" s="1"/>
  <c r="R36" i="15" s="1"/>
  <c r="S36" i="15" s="1"/>
  <c r="T36" i="15" s="1"/>
  <c r="U36" i="15" s="1"/>
  <c r="V36" i="15" s="1"/>
  <c r="W36" i="15" s="1"/>
  <c r="X36" i="15" s="1"/>
  <c r="Y36" i="15" s="1"/>
  <c r="Z36" i="15" s="1"/>
  <c r="R45" i="55" l="1"/>
  <c r="T45" i="55" s="1"/>
  <c r="V45" i="55" s="1"/>
  <c r="W45" i="55" s="1"/>
  <c r="R12" i="55"/>
  <c r="T12" i="55" s="1"/>
  <c r="V12" i="55" s="1"/>
  <c r="W12" i="55" s="1"/>
  <c r="R69" i="55"/>
  <c r="T69" i="55" s="1"/>
  <c r="V69" i="55" s="1"/>
  <c r="W69" i="55" s="1"/>
  <c r="R81" i="55"/>
  <c r="T81" i="55" s="1"/>
  <c r="V81" i="55" s="1"/>
  <c r="W81" i="55" s="1"/>
  <c r="R24" i="55"/>
  <c r="T24" i="55" s="1"/>
  <c r="V24" i="55" s="1"/>
  <c r="W24" i="55" s="1"/>
  <c r="R23" i="55"/>
  <c r="T23" i="55" s="1"/>
  <c r="V23" i="55" s="1"/>
  <c r="W23" i="55" s="1"/>
  <c r="R19" i="55"/>
  <c r="T19" i="55" s="1"/>
  <c r="V19" i="55" s="1"/>
  <c r="W19" i="55" s="1"/>
  <c r="R91" i="55"/>
  <c r="T91" i="55" s="1"/>
  <c r="V91" i="55" s="1"/>
  <c r="W91" i="55" s="1"/>
  <c r="R52" i="55"/>
  <c r="T52" i="55" s="1"/>
  <c r="V52" i="55" s="1"/>
  <c r="W52" i="55" s="1"/>
  <c r="R57" i="55"/>
  <c r="T57" i="55" s="1"/>
  <c r="V57" i="55" s="1"/>
  <c r="W57" i="55" s="1"/>
  <c r="R61" i="55"/>
  <c r="T61" i="55" s="1"/>
  <c r="V61" i="55" s="1"/>
  <c r="W61" i="55" s="1"/>
  <c r="R17" i="55"/>
  <c r="T17" i="55" s="1"/>
  <c r="V17" i="55" s="1"/>
  <c r="W17" i="55" s="1"/>
  <c r="R84" i="55"/>
  <c r="T84" i="55" s="1"/>
  <c r="V84" i="55" s="1"/>
  <c r="W84" i="55" s="1"/>
  <c r="R85" i="55"/>
  <c r="T85" i="55" s="1"/>
  <c r="V85" i="55" s="1"/>
  <c r="W85" i="55" s="1"/>
  <c r="R64" i="55"/>
  <c r="T64" i="55" s="1"/>
  <c r="V64" i="55" s="1"/>
  <c r="W64" i="55" s="1"/>
  <c r="R34" i="55"/>
  <c r="T34" i="55" s="1"/>
  <c r="V34" i="55" s="1"/>
  <c r="W34" i="55" s="1"/>
  <c r="R22" i="55"/>
  <c r="T22" i="55" s="1"/>
  <c r="V22" i="55" s="1"/>
  <c r="W22" i="55" s="1"/>
  <c r="R71" i="55"/>
  <c r="T71" i="55" s="1"/>
  <c r="V71" i="55" s="1"/>
  <c r="W71" i="55" s="1"/>
  <c r="R75" i="55"/>
  <c r="T75" i="55" s="1"/>
  <c r="V75" i="55" s="1"/>
  <c r="W75" i="55" s="1"/>
  <c r="R59" i="55"/>
  <c r="T59" i="55" s="1"/>
  <c r="V59" i="55" s="1"/>
  <c r="W59" i="55" s="1"/>
  <c r="R27" i="55"/>
  <c r="T27" i="55" s="1"/>
  <c r="V27" i="55" s="1"/>
  <c r="W27" i="55" s="1"/>
  <c r="R65" i="55"/>
  <c r="T65" i="55" s="1"/>
  <c r="V65" i="55" s="1"/>
  <c r="W65" i="55" s="1"/>
  <c r="R50" i="55"/>
  <c r="T50" i="55" s="1"/>
  <c r="V50" i="55" s="1"/>
  <c r="W50" i="55" s="1"/>
  <c r="R87" i="55"/>
  <c r="T87" i="55" s="1"/>
  <c r="V87" i="55" s="1"/>
  <c r="W87" i="55" s="1"/>
  <c r="R25" i="55"/>
  <c r="T25" i="55" s="1"/>
  <c r="V25" i="55" s="1"/>
  <c r="W25" i="55" s="1"/>
  <c r="R36" i="55"/>
  <c r="T36" i="55" s="1"/>
  <c r="V36" i="55" s="1"/>
  <c r="W36" i="55" s="1"/>
  <c r="R28" i="55"/>
  <c r="T28" i="55" s="1"/>
  <c r="V28" i="55" s="1"/>
  <c r="W28" i="55" s="1"/>
  <c r="R33" i="55"/>
  <c r="T33" i="55" s="1"/>
  <c r="V33" i="55" s="1"/>
  <c r="W33" i="55" s="1"/>
  <c r="R14" i="55"/>
  <c r="T14" i="55" s="1"/>
  <c r="V14" i="55" s="1"/>
  <c r="W14" i="55" s="1"/>
  <c r="R15" i="55"/>
  <c r="T15" i="55" s="1"/>
  <c r="V15" i="55" s="1"/>
  <c r="W15" i="55" s="1"/>
  <c r="R90" i="55"/>
  <c r="T90" i="55" s="1"/>
  <c r="V90" i="55" s="1"/>
  <c r="W90" i="55" s="1"/>
  <c r="R21" i="55"/>
  <c r="T21" i="55" s="1"/>
  <c r="V21" i="55" s="1"/>
  <c r="W21" i="55" s="1"/>
  <c r="R30" i="55"/>
  <c r="T30" i="55" s="1"/>
  <c r="V30" i="55" s="1"/>
  <c r="W30" i="55" s="1"/>
  <c r="R18" i="55"/>
  <c r="T18" i="55" s="1"/>
  <c r="V18" i="55" s="1"/>
  <c r="W18" i="55" s="1"/>
  <c r="R68" i="55"/>
  <c r="T68" i="55" s="1"/>
  <c r="V68" i="55" s="1"/>
  <c r="W68" i="55" s="1"/>
  <c r="R43" i="55"/>
  <c r="T43" i="55" s="1"/>
  <c r="V43" i="55" s="1"/>
  <c r="W43" i="55" s="1"/>
  <c r="R26" i="55"/>
  <c r="T26" i="55" s="1"/>
  <c r="V26" i="55" s="1"/>
  <c r="W26" i="55" s="1"/>
  <c r="R86" i="55"/>
  <c r="T86" i="55" s="1"/>
  <c r="V86" i="55" s="1"/>
  <c r="W86" i="55" s="1"/>
  <c r="R51" i="55"/>
  <c r="T51" i="55" s="1"/>
  <c r="V51" i="55" s="1"/>
  <c r="W51" i="55" s="1"/>
  <c r="R38" i="55"/>
  <c r="T38" i="55" s="1"/>
  <c r="V38" i="55" s="1"/>
  <c r="W38" i="55" s="1"/>
  <c r="R32" i="55"/>
  <c r="T32" i="55" s="1"/>
  <c r="V32" i="55" s="1"/>
  <c r="W32" i="55" s="1"/>
  <c r="R37" i="55"/>
  <c r="T37" i="55" s="1"/>
  <c r="V37" i="55" s="1"/>
  <c r="W37" i="55" s="1"/>
  <c r="R73" i="55"/>
  <c r="T73" i="55" s="1"/>
  <c r="V73" i="55" s="1"/>
  <c r="W73" i="55" s="1"/>
  <c r="R78" i="55"/>
  <c r="T78" i="55" s="1"/>
  <c r="V78" i="55" s="1"/>
  <c r="W78" i="55" s="1"/>
  <c r="R48" i="55"/>
  <c r="T48" i="55" s="1"/>
  <c r="V48" i="55" s="1"/>
  <c r="W48" i="55" s="1"/>
  <c r="R74" i="55"/>
  <c r="T74" i="55" s="1"/>
  <c r="V74" i="55" s="1"/>
  <c r="W74" i="55" s="1"/>
  <c r="R39" i="55"/>
  <c r="T39" i="55" s="1"/>
  <c r="V39" i="55" s="1"/>
  <c r="W39" i="55" s="1"/>
  <c r="R29" i="55"/>
  <c r="T29" i="55" s="1"/>
  <c r="V29" i="55" s="1"/>
  <c r="W29" i="55" s="1"/>
  <c r="R70" i="55"/>
  <c r="T70" i="55" s="1"/>
  <c r="V70" i="55" s="1"/>
  <c r="W70" i="55" s="1"/>
  <c r="R62" i="55"/>
  <c r="T62" i="55" s="1"/>
  <c r="V62" i="55" s="1"/>
  <c r="W62" i="55" s="1"/>
  <c r="R58" i="55"/>
  <c r="T58" i="55" s="1"/>
  <c r="V58" i="55" s="1"/>
  <c r="W58" i="55" s="1"/>
  <c r="R13" i="55"/>
  <c r="T13" i="55" s="1"/>
  <c r="V13" i="55" s="1"/>
  <c r="W13" i="55" s="1"/>
  <c r="T92" i="55" l="1"/>
  <c r="V92" i="55"/>
  <c r="W92" i="55" l="1"/>
  <c r="C217" i="15"/>
  <c r="D217" i="15" s="1"/>
  <c r="E217" i="15" s="1"/>
  <c r="F217" i="15" s="1"/>
  <c r="G217" i="15" s="1"/>
  <c r="H217" i="15" s="1"/>
  <c r="I217" i="15" s="1"/>
  <c r="J217" i="15" s="1"/>
  <c r="K217" i="15" s="1"/>
  <c r="L217" i="15" s="1"/>
  <c r="M217" i="15" s="1"/>
  <c r="N217" i="15" s="1"/>
  <c r="O217" i="15" s="1"/>
  <c r="P217" i="15" s="1"/>
  <c r="Q217" i="15" s="1"/>
  <c r="R217" i="15" s="1"/>
  <c r="S217" i="15" s="1"/>
  <c r="T217" i="15" s="1"/>
  <c r="U217" i="15" s="1"/>
  <c r="V217" i="15" s="1"/>
  <c r="W217" i="15" s="1"/>
  <c r="X217" i="15" s="1"/>
  <c r="Y217" i="15" s="1"/>
  <c r="Z217" i="15" s="1"/>
  <c r="C216" i="15"/>
  <c r="D216" i="15" s="1"/>
  <c r="E216" i="15" s="1"/>
  <c r="F216" i="15" s="1"/>
  <c r="G216" i="15" s="1"/>
  <c r="H216" i="15" s="1"/>
  <c r="I216" i="15" s="1"/>
  <c r="J216" i="15" s="1"/>
  <c r="K216" i="15" s="1"/>
  <c r="L216" i="15" s="1"/>
  <c r="M216" i="15" s="1"/>
  <c r="N216" i="15" s="1"/>
  <c r="O216" i="15" s="1"/>
  <c r="P216" i="15" s="1"/>
  <c r="Q216" i="15" s="1"/>
  <c r="R216" i="15" s="1"/>
  <c r="S216" i="15" s="1"/>
  <c r="T216" i="15" s="1"/>
  <c r="U216" i="15" s="1"/>
  <c r="V216" i="15" s="1"/>
  <c r="W216" i="15" s="1"/>
  <c r="X216" i="15" s="1"/>
  <c r="Y216" i="15" s="1"/>
  <c r="Z216" i="15" s="1"/>
  <c r="C215" i="15"/>
  <c r="D215" i="15" s="1"/>
  <c r="E215" i="15" s="1"/>
  <c r="F215" i="15" s="1"/>
  <c r="G215" i="15" s="1"/>
  <c r="H215" i="15" s="1"/>
  <c r="I215" i="15" s="1"/>
  <c r="J215" i="15" s="1"/>
  <c r="K215" i="15" s="1"/>
  <c r="L215" i="15" s="1"/>
  <c r="M215" i="15" s="1"/>
  <c r="N215" i="15" s="1"/>
  <c r="O215" i="15" s="1"/>
  <c r="P215" i="15" s="1"/>
  <c r="Q215" i="15" s="1"/>
  <c r="R215" i="15" s="1"/>
  <c r="S215" i="15" s="1"/>
  <c r="T215" i="15" s="1"/>
  <c r="U215" i="15" s="1"/>
  <c r="V215" i="15" s="1"/>
  <c r="W215" i="15" s="1"/>
  <c r="X215" i="15" s="1"/>
  <c r="Y215" i="15" s="1"/>
  <c r="Z215" i="15" s="1"/>
  <c r="C214" i="15"/>
  <c r="D214" i="15" s="1"/>
  <c r="E214" i="15" s="1"/>
  <c r="F214" i="15" s="1"/>
  <c r="G214" i="15" s="1"/>
  <c r="H214" i="15" s="1"/>
  <c r="I214" i="15" s="1"/>
  <c r="J214" i="15" s="1"/>
  <c r="K214" i="15" s="1"/>
  <c r="L214" i="15" s="1"/>
  <c r="M214" i="15" s="1"/>
  <c r="N214" i="15" s="1"/>
  <c r="O214" i="15" s="1"/>
  <c r="P214" i="15" s="1"/>
  <c r="Q214" i="15" s="1"/>
  <c r="R214" i="15" s="1"/>
  <c r="S214" i="15" s="1"/>
  <c r="T214" i="15" s="1"/>
  <c r="U214" i="15" s="1"/>
  <c r="V214" i="15" s="1"/>
  <c r="W214" i="15" s="1"/>
  <c r="X214" i="15" s="1"/>
  <c r="Y214" i="15" s="1"/>
  <c r="Z214" i="15" s="1"/>
  <c r="C213" i="15"/>
  <c r="D213" i="15" s="1"/>
  <c r="E213" i="15" s="1"/>
  <c r="F213" i="15" s="1"/>
  <c r="G213" i="15" s="1"/>
  <c r="H213" i="15" s="1"/>
  <c r="I213" i="15" s="1"/>
  <c r="J213" i="15" s="1"/>
  <c r="K213" i="15" s="1"/>
  <c r="L213" i="15" s="1"/>
  <c r="M213" i="15" s="1"/>
  <c r="N213" i="15" s="1"/>
  <c r="O213" i="15" s="1"/>
  <c r="P213" i="15" s="1"/>
  <c r="Q213" i="15" s="1"/>
  <c r="R213" i="15" s="1"/>
  <c r="S213" i="15" s="1"/>
  <c r="T213" i="15" s="1"/>
  <c r="U213" i="15" s="1"/>
  <c r="V213" i="15" s="1"/>
  <c r="W213" i="15" s="1"/>
  <c r="X213" i="15" s="1"/>
  <c r="Y213" i="15" s="1"/>
  <c r="Z213" i="15" s="1"/>
  <c r="C212" i="15"/>
  <c r="D212" i="15" s="1"/>
  <c r="E212" i="15" s="1"/>
  <c r="F212" i="15" s="1"/>
  <c r="G212" i="15" s="1"/>
  <c r="H212" i="15" s="1"/>
  <c r="I212" i="15" s="1"/>
  <c r="J212" i="15" s="1"/>
  <c r="K212" i="15" s="1"/>
  <c r="L212" i="15" s="1"/>
  <c r="M212" i="15" s="1"/>
  <c r="N212" i="15" s="1"/>
  <c r="O212" i="15" s="1"/>
  <c r="P212" i="15" s="1"/>
  <c r="Q212" i="15" s="1"/>
  <c r="R212" i="15" s="1"/>
  <c r="S212" i="15" s="1"/>
  <c r="T212" i="15" s="1"/>
  <c r="U212" i="15" s="1"/>
  <c r="V212" i="15" s="1"/>
  <c r="W212" i="15" s="1"/>
  <c r="X212" i="15" s="1"/>
  <c r="Y212" i="15" s="1"/>
  <c r="Z212" i="15" s="1"/>
  <c r="C211" i="15"/>
  <c r="D211" i="15" s="1"/>
  <c r="E211" i="15" s="1"/>
  <c r="F211" i="15" s="1"/>
  <c r="G211" i="15" s="1"/>
  <c r="H211" i="15" s="1"/>
  <c r="I211" i="15" s="1"/>
  <c r="J211" i="15" s="1"/>
  <c r="K211" i="15" s="1"/>
  <c r="L211" i="15" s="1"/>
  <c r="M211" i="15" s="1"/>
  <c r="N211" i="15" s="1"/>
  <c r="O211" i="15" s="1"/>
  <c r="P211" i="15" s="1"/>
  <c r="Q211" i="15" s="1"/>
  <c r="R211" i="15" s="1"/>
  <c r="S211" i="15" s="1"/>
  <c r="T211" i="15" s="1"/>
  <c r="U211" i="15" s="1"/>
  <c r="V211" i="15" s="1"/>
  <c r="W211" i="15" s="1"/>
  <c r="X211" i="15" s="1"/>
  <c r="Y211" i="15" s="1"/>
  <c r="Z211" i="15" s="1"/>
  <c r="C210" i="15"/>
  <c r="D210" i="15" s="1"/>
  <c r="E210" i="15" s="1"/>
  <c r="F210" i="15" s="1"/>
  <c r="G210" i="15" s="1"/>
  <c r="H210" i="15" s="1"/>
  <c r="I210" i="15" s="1"/>
  <c r="J210" i="15" s="1"/>
  <c r="K210" i="15" s="1"/>
  <c r="L210" i="15" s="1"/>
  <c r="M210" i="15" s="1"/>
  <c r="N210" i="15" s="1"/>
  <c r="O210" i="15" s="1"/>
  <c r="P210" i="15" s="1"/>
  <c r="Q210" i="15" s="1"/>
  <c r="R210" i="15" s="1"/>
  <c r="S210" i="15" s="1"/>
  <c r="T210" i="15" s="1"/>
  <c r="U210" i="15" s="1"/>
  <c r="V210" i="15" s="1"/>
  <c r="W210" i="15" s="1"/>
  <c r="X210" i="15" s="1"/>
  <c r="Y210" i="15" s="1"/>
  <c r="Z210" i="15" s="1"/>
  <c r="C209" i="15"/>
  <c r="D209" i="15" s="1"/>
  <c r="E209" i="15" s="1"/>
  <c r="F209" i="15" s="1"/>
  <c r="G209" i="15" s="1"/>
  <c r="H209" i="15" s="1"/>
  <c r="I209" i="15" s="1"/>
  <c r="J209" i="15" s="1"/>
  <c r="K209" i="15" s="1"/>
  <c r="L209" i="15" s="1"/>
  <c r="M209" i="15" s="1"/>
  <c r="N209" i="15" s="1"/>
  <c r="O209" i="15" s="1"/>
  <c r="P209" i="15" s="1"/>
  <c r="Q209" i="15" s="1"/>
  <c r="R209" i="15" s="1"/>
  <c r="S209" i="15" s="1"/>
  <c r="T209" i="15" s="1"/>
  <c r="U209" i="15" s="1"/>
  <c r="V209" i="15" s="1"/>
  <c r="W209" i="15" s="1"/>
  <c r="X209" i="15" s="1"/>
  <c r="Y209" i="15" s="1"/>
  <c r="Z209" i="15" s="1"/>
  <c r="C208" i="15"/>
  <c r="D208" i="15" s="1"/>
  <c r="E208" i="15" s="1"/>
  <c r="F208" i="15" s="1"/>
  <c r="G208" i="15" s="1"/>
  <c r="H208" i="15" s="1"/>
  <c r="I208" i="15" s="1"/>
  <c r="J208" i="15" s="1"/>
  <c r="K208" i="15" s="1"/>
  <c r="L208" i="15" s="1"/>
  <c r="M208" i="15" s="1"/>
  <c r="N208" i="15" s="1"/>
  <c r="O208" i="15" s="1"/>
  <c r="P208" i="15" s="1"/>
  <c r="Q208" i="15" s="1"/>
  <c r="R208" i="15" s="1"/>
  <c r="S208" i="15" s="1"/>
  <c r="T208" i="15" s="1"/>
  <c r="U208" i="15" s="1"/>
  <c r="V208" i="15" s="1"/>
  <c r="W208" i="15" s="1"/>
  <c r="X208" i="15" s="1"/>
  <c r="Y208" i="15" s="1"/>
  <c r="Z208" i="15" s="1"/>
  <c r="C207" i="15"/>
  <c r="D207" i="15" s="1"/>
  <c r="E207" i="15" s="1"/>
  <c r="F207" i="15" s="1"/>
  <c r="G207" i="15" s="1"/>
  <c r="H207" i="15" s="1"/>
  <c r="I207" i="15" s="1"/>
  <c r="J207" i="15" s="1"/>
  <c r="K207" i="15" s="1"/>
  <c r="L207" i="15" s="1"/>
  <c r="M207" i="15" s="1"/>
  <c r="N207" i="15" s="1"/>
  <c r="O207" i="15" s="1"/>
  <c r="P207" i="15" s="1"/>
  <c r="Q207" i="15" s="1"/>
  <c r="R207" i="15" s="1"/>
  <c r="S207" i="15" s="1"/>
  <c r="T207" i="15" s="1"/>
  <c r="U207" i="15" s="1"/>
  <c r="V207" i="15" s="1"/>
  <c r="W207" i="15" s="1"/>
  <c r="X207" i="15" s="1"/>
  <c r="Y207" i="15" s="1"/>
  <c r="Z207" i="15" s="1"/>
  <c r="C206" i="15"/>
  <c r="D206" i="15" s="1"/>
  <c r="E206" i="15" s="1"/>
  <c r="F206" i="15" s="1"/>
  <c r="G206" i="15" s="1"/>
  <c r="H206" i="15" s="1"/>
  <c r="I206" i="15" s="1"/>
  <c r="J206" i="15" s="1"/>
  <c r="K206" i="15" s="1"/>
  <c r="L206" i="15" s="1"/>
  <c r="M206" i="15" s="1"/>
  <c r="N206" i="15" s="1"/>
  <c r="O206" i="15" s="1"/>
  <c r="P206" i="15" s="1"/>
  <c r="Q206" i="15" s="1"/>
  <c r="R206" i="15" s="1"/>
  <c r="S206" i="15" s="1"/>
  <c r="T206" i="15" s="1"/>
  <c r="U206" i="15" s="1"/>
  <c r="V206" i="15" s="1"/>
  <c r="W206" i="15" s="1"/>
  <c r="X206" i="15" s="1"/>
  <c r="Y206" i="15" s="1"/>
  <c r="Z206" i="15" s="1"/>
  <c r="C205" i="15"/>
  <c r="D205" i="15" s="1"/>
  <c r="E205" i="15" s="1"/>
  <c r="F205" i="15" s="1"/>
  <c r="G205" i="15" s="1"/>
  <c r="H205" i="15" s="1"/>
  <c r="I205" i="15" s="1"/>
  <c r="J205" i="15" s="1"/>
  <c r="K205" i="15" s="1"/>
  <c r="L205" i="15" s="1"/>
  <c r="M205" i="15" s="1"/>
  <c r="N205" i="15" s="1"/>
  <c r="O205" i="15" s="1"/>
  <c r="P205" i="15" s="1"/>
  <c r="Q205" i="15" s="1"/>
  <c r="R205" i="15" s="1"/>
  <c r="S205" i="15" s="1"/>
  <c r="T205" i="15" s="1"/>
  <c r="U205" i="15" s="1"/>
  <c r="V205" i="15" s="1"/>
  <c r="W205" i="15" s="1"/>
  <c r="X205" i="15" s="1"/>
  <c r="Y205" i="15" s="1"/>
  <c r="Z205" i="15" s="1"/>
  <c r="C204" i="15"/>
  <c r="D204" i="15" s="1"/>
  <c r="E204" i="15" s="1"/>
  <c r="F204" i="15" s="1"/>
  <c r="G204" i="15" s="1"/>
  <c r="H204" i="15" s="1"/>
  <c r="I204" i="15" s="1"/>
  <c r="J204" i="15" s="1"/>
  <c r="K204" i="15" s="1"/>
  <c r="L204" i="15" s="1"/>
  <c r="M204" i="15" s="1"/>
  <c r="N204" i="15" s="1"/>
  <c r="O204" i="15" s="1"/>
  <c r="P204" i="15" s="1"/>
  <c r="Q204" i="15" s="1"/>
  <c r="R204" i="15" s="1"/>
  <c r="S204" i="15" s="1"/>
  <c r="T204" i="15" s="1"/>
  <c r="U204" i="15" s="1"/>
  <c r="V204" i="15" s="1"/>
  <c r="W204" i="15" s="1"/>
  <c r="X204" i="15" s="1"/>
  <c r="Y204" i="15" s="1"/>
  <c r="Z204" i="15" s="1"/>
  <c r="C203" i="15"/>
  <c r="D203" i="15" s="1"/>
  <c r="E203" i="15" s="1"/>
  <c r="F203" i="15" s="1"/>
  <c r="G203" i="15" s="1"/>
  <c r="H203" i="15" s="1"/>
  <c r="I203" i="15" s="1"/>
  <c r="J203" i="15" s="1"/>
  <c r="K203" i="15" s="1"/>
  <c r="L203" i="15" s="1"/>
  <c r="M203" i="15" s="1"/>
  <c r="N203" i="15" s="1"/>
  <c r="O203" i="15" s="1"/>
  <c r="P203" i="15" s="1"/>
  <c r="Q203" i="15" s="1"/>
  <c r="R203" i="15" s="1"/>
  <c r="S203" i="15" s="1"/>
  <c r="T203" i="15" s="1"/>
  <c r="U203" i="15" s="1"/>
  <c r="V203" i="15" s="1"/>
  <c r="W203" i="15" s="1"/>
  <c r="X203" i="15" s="1"/>
  <c r="Y203" i="15" s="1"/>
  <c r="Z203" i="15" s="1"/>
  <c r="C202" i="15"/>
  <c r="D202" i="15" s="1"/>
  <c r="E202" i="15" s="1"/>
  <c r="F202" i="15" s="1"/>
  <c r="G202" i="15" s="1"/>
  <c r="H202" i="15" s="1"/>
  <c r="I202" i="15" s="1"/>
  <c r="J202" i="15" s="1"/>
  <c r="K202" i="15" s="1"/>
  <c r="L202" i="15" s="1"/>
  <c r="M202" i="15" s="1"/>
  <c r="N202" i="15" s="1"/>
  <c r="O202" i="15" s="1"/>
  <c r="P202" i="15" s="1"/>
  <c r="Q202" i="15" s="1"/>
  <c r="R202" i="15" s="1"/>
  <c r="S202" i="15" s="1"/>
  <c r="T202" i="15" s="1"/>
  <c r="U202" i="15" s="1"/>
  <c r="V202" i="15" s="1"/>
  <c r="W202" i="15" s="1"/>
  <c r="X202" i="15" s="1"/>
  <c r="Y202" i="15" s="1"/>
  <c r="Z202" i="15" s="1"/>
  <c r="C201" i="15"/>
  <c r="D201" i="15" s="1"/>
  <c r="E201" i="15" s="1"/>
  <c r="F201" i="15" s="1"/>
  <c r="G201" i="15" s="1"/>
  <c r="H201" i="15" s="1"/>
  <c r="I201" i="15" s="1"/>
  <c r="J201" i="15" s="1"/>
  <c r="K201" i="15" s="1"/>
  <c r="L201" i="15" s="1"/>
  <c r="M201" i="15" s="1"/>
  <c r="N201" i="15" s="1"/>
  <c r="O201" i="15" s="1"/>
  <c r="P201" i="15" s="1"/>
  <c r="Q201" i="15" s="1"/>
  <c r="R201" i="15" s="1"/>
  <c r="S201" i="15" s="1"/>
  <c r="T201" i="15" s="1"/>
  <c r="U201" i="15" s="1"/>
  <c r="V201" i="15" s="1"/>
  <c r="W201" i="15" s="1"/>
  <c r="X201" i="15" s="1"/>
  <c r="Y201" i="15" s="1"/>
  <c r="Z201" i="15" s="1"/>
  <c r="C200" i="15"/>
  <c r="D200" i="15" s="1"/>
  <c r="E200" i="15" s="1"/>
  <c r="F200" i="15" s="1"/>
  <c r="G200" i="15" s="1"/>
  <c r="H200" i="15" s="1"/>
  <c r="I200" i="15" s="1"/>
  <c r="J200" i="15" s="1"/>
  <c r="K200" i="15" s="1"/>
  <c r="L200" i="15" s="1"/>
  <c r="M200" i="15" s="1"/>
  <c r="N200" i="15" s="1"/>
  <c r="O200" i="15" s="1"/>
  <c r="P200" i="15" s="1"/>
  <c r="Q200" i="15" s="1"/>
  <c r="R200" i="15" s="1"/>
  <c r="S200" i="15" s="1"/>
  <c r="T200" i="15" s="1"/>
  <c r="U200" i="15" s="1"/>
  <c r="V200" i="15" s="1"/>
  <c r="W200" i="15" s="1"/>
  <c r="X200" i="15" s="1"/>
  <c r="Y200" i="15" s="1"/>
  <c r="Z200" i="15" s="1"/>
  <c r="C199" i="15"/>
  <c r="D199" i="15" s="1"/>
  <c r="E199" i="15" s="1"/>
  <c r="F199" i="15" s="1"/>
  <c r="G199" i="15" s="1"/>
  <c r="H199" i="15" s="1"/>
  <c r="I199" i="15" s="1"/>
  <c r="J199" i="15" s="1"/>
  <c r="K199" i="15" s="1"/>
  <c r="L199" i="15" s="1"/>
  <c r="M199" i="15" s="1"/>
  <c r="N199" i="15" s="1"/>
  <c r="O199" i="15" s="1"/>
  <c r="P199" i="15" s="1"/>
  <c r="Q199" i="15" s="1"/>
  <c r="R199" i="15" s="1"/>
  <c r="S199" i="15" s="1"/>
  <c r="T199" i="15" s="1"/>
  <c r="U199" i="15" s="1"/>
  <c r="V199" i="15" s="1"/>
  <c r="W199" i="15" s="1"/>
  <c r="X199" i="15" s="1"/>
  <c r="Y199" i="15" s="1"/>
  <c r="Z199" i="15" s="1"/>
  <c r="C198" i="15"/>
  <c r="D198" i="15" s="1"/>
  <c r="E198" i="15"/>
  <c r="F198" i="15" s="1"/>
  <c r="G198" i="15" s="1"/>
  <c r="H198" i="15" s="1"/>
  <c r="I198" i="15" s="1"/>
  <c r="J198" i="15" s="1"/>
  <c r="K198" i="15" s="1"/>
  <c r="L198" i="15" s="1"/>
  <c r="M198" i="15" s="1"/>
  <c r="N198" i="15" s="1"/>
  <c r="O198" i="15" s="1"/>
  <c r="P198" i="15" s="1"/>
  <c r="Q198" i="15" s="1"/>
  <c r="R198" i="15" s="1"/>
  <c r="S198" i="15" s="1"/>
  <c r="T198" i="15" s="1"/>
  <c r="U198" i="15" s="1"/>
  <c r="V198" i="15" s="1"/>
  <c r="W198" i="15" s="1"/>
  <c r="X198" i="15" s="1"/>
  <c r="Y198" i="15" s="1"/>
  <c r="Z198" i="15" s="1"/>
  <c r="C197" i="15"/>
  <c r="D197" i="15" s="1"/>
  <c r="E197" i="15" s="1"/>
  <c r="F197" i="15" s="1"/>
  <c r="G197" i="15" s="1"/>
  <c r="H197" i="15" s="1"/>
  <c r="I197" i="15" s="1"/>
  <c r="J197" i="15" s="1"/>
  <c r="K197" i="15" s="1"/>
  <c r="L197" i="15" s="1"/>
  <c r="M197" i="15" s="1"/>
  <c r="N197" i="15" s="1"/>
  <c r="O197" i="15" s="1"/>
  <c r="P197" i="15" s="1"/>
  <c r="Q197" i="15" s="1"/>
  <c r="R197" i="15" s="1"/>
  <c r="S197" i="15" s="1"/>
  <c r="T197" i="15" s="1"/>
  <c r="U197" i="15" s="1"/>
  <c r="V197" i="15" s="1"/>
  <c r="W197" i="15" s="1"/>
  <c r="X197" i="15" s="1"/>
  <c r="Y197" i="15" s="1"/>
  <c r="Z197" i="15" s="1"/>
  <c r="C196" i="15"/>
  <c r="D196" i="15" s="1"/>
  <c r="E196" i="15" s="1"/>
  <c r="F196" i="15" s="1"/>
  <c r="G196" i="15" s="1"/>
  <c r="H196" i="15" s="1"/>
  <c r="I196" i="15" s="1"/>
  <c r="J196" i="15" s="1"/>
  <c r="K196" i="15" s="1"/>
  <c r="L196" i="15" s="1"/>
  <c r="M196" i="15" s="1"/>
  <c r="N196" i="15" s="1"/>
  <c r="O196" i="15" s="1"/>
  <c r="P196" i="15" s="1"/>
  <c r="Q196" i="15" s="1"/>
  <c r="R196" i="15" s="1"/>
  <c r="S196" i="15" s="1"/>
  <c r="T196" i="15" s="1"/>
  <c r="U196" i="15" s="1"/>
  <c r="V196" i="15" s="1"/>
  <c r="W196" i="15" s="1"/>
  <c r="X196" i="15" s="1"/>
  <c r="Y196" i="15" s="1"/>
  <c r="Z196" i="15" s="1"/>
  <c r="C195" i="15"/>
  <c r="D195" i="15" s="1"/>
  <c r="E195" i="15" s="1"/>
  <c r="F195" i="15" s="1"/>
  <c r="G195" i="15" s="1"/>
  <c r="H195" i="15" s="1"/>
  <c r="I195" i="15" s="1"/>
  <c r="J195" i="15" s="1"/>
  <c r="K195" i="15" s="1"/>
  <c r="L195" i="15" s="1"/>
  <c r="M195" i="15" s="1"/>
  <c r="N195" i="15" s="1"/>
  <c r="O195" i="15" s="1"/>
  <c r="P195" i="15" s="1"/>
  <c r="Q195" i="15" s="1"/>
  <c r="R195" i="15" s="1"/>
  <c r="S195" i="15" s="1"/>
  <c r="T195" i="15" s="1"/>
  <c r="U195" i="15" s="1"/>
  <c r="V195" i="15" s="1"/>
  <c r="W195" i="15" s="1"/>
  <c r="X195" i="15" s="1"/>
  <c r="Y195" i="15" s="1"/>
  <c r="Z195" i="15" s="1"/>
  <c r="C194" i="15"/>
  <c r="D194" i="15" s="1"/>
  <c r="E194" i="15" s="1"/>
  <c r="F194" i="15" s="1"/>
  <c r="G194" i="15" s="1"/>
  <c r="H194" i="15" s="1"/>
  <c r="I194" i="15" s="1"/>
  <c r="J194" i="15" s="1"/>
  <c r="K194" i="15" s="1"/>
  <c r="L194" i="15" s="1"/>
  <c r="M194" i="15" s="1"/>
  <c r="N194" i="15" s="1"/>
  <c r="O194" i="15" s="1"/>
  <c r="P194" i="15" s="1"/>
  <c r="Q194" i="15" s="1"/>
  <c r="R194" i="15" s="1"/>
  <c r="S194" i="15" s="1"/>
  <c r="T194" i="15" s="1"/>
  <c r="U194" i="15" s="1"/>
  <c r="V194" i="15" s="1"/>
  <c r="W194" i="15" s="1"/>
  <c r="X194" i="15" s="1"/>
  <c r="Y194" i="15" s="1"/>
  <c r="Z194" i="15" s="1"/>
  <c r="C193" i="15"/>
  <c r="D193" i="15" s="1"/>
  <c r="E193" i="15" s="1"/>
  <c r="F193" i="15" s="1"/>
  <c r="G193" i="15" s="1"/>
  <c r="H193" i="15" s="1"/>
  <c r="I193" i="15" s="1"/>
  <c r="J193" i="15" s="1"/>
  <c r="K193" i="15" s="1"/>
  <c r="L193" i="15" s="1"/>
  <c r="M193" i="15" s="1"/>
  <c r="N193" i="15" s="1"/>
  <c r="O193" i="15" s="1"/>
  <c r="P193" i="15" s="1"/>
  <c r="Q193" i="15" s="1"/>
  <c r="R193" i="15" s="1"/>
  <c r="S193" i="15" s="1"/>
  <c r="T193" i="15" s="1"/>
  <c r="U193" i="15" s="1"/>
  <c r="V193" i="15" s="1"/>
  <c r="W193" i="15" s="1"/>
  <c r="X193" i="15" s="1"/>
  <c r="Y193" i="15" s="1"/>
  <c r="Z193" i="15" s="1"/>
  <c r="C192" i="15"/>
  <c r="D192" i="15" s="1"/>
  <c r="E192" i="15" s="1"/>
  <c r="F192" i="15" s="1"/>
  <c r="G192" i="15" s="1"/>
  <c r="H192" i="15" s="1"/>
  <c r="I192" i="15" s="1"/>
  <c r="J192" i="15" s="1"/>
  <c r="K192" i="15" s="1"/>
  <c r="L192" i="15" s="1"/>
  <c r="M192" i="15" s="1"/>
  <c r="N192" i="15" s="1"/>
  <c r="O192" i="15" s="1"/>
  <c r="P192" i="15" s="1"/>
  <c r="Q192" i="15" s="1"/>
  <c r="R192" i="15" s="1"/>
  <c r="S192" i="15" s="1"/>
  <c r="T192" i="15" s="1"/>
  <c r="U192" i="15" s="1"/>
  <c r="V192" i="15" s="1"/>
  <c r="W192" i="15" s="1"/>
  <c r="X192" i="15" s="1"/>
  <c r="Y192" i="15" s="1"/>
  <c r="Z192" i="15" s="1"/>
  <c r="C191" i="15"/>
  <c r="D191" i="15" s="1"/>
  <c r="E191" i="15" s="1"/>
  <c r="F191" i="15" s="1"/>
  <c r="G191" i="15" s="1"/>
  <c r="H191" i="15" s="1"/>
  <c r="I191" i="15" s="1"/>
  <c r="J191" i="15" s="1"/>
  <c r="K191" i="15" s="1"/>
  <c r="L191" i="15" s="1"/>
  <c r="M191" i="15" s="1"/>
  <c r="N191" i="15" s="1"/>
  <c r="O191" i="15" s="1"/>
  <c r="P191" i="15" s="1"/>
  <c r="Q191" i="15" s="1"/>
  <c r="R191" i="15" s="1"/>
  <c r="S191" i="15" s="1"/>
  <c r="T191" i="15" s="1"/>
  <c r="U191" i="15" s="1"/>
  <c r="V191" i="15" s="1"/>
  <c r="W191" i="15" s="1"/>
  <c r="X191" i="15" s="1"/>
  <c r="Y191" i="15" s="1"/>
  <c r="Z191" i="15" s="1"/>
  <c r="C190" i="15"/>
  <c r="D190" i="15" s="1"/>
  <c r="E190" i="15" s="1"/>
  <c r="F190" i="15" s="1"/>
  <c r="G190" i="15" s="1"/>
  <c r="H190" i="15" s="1"/>
  <c r="I190" i="15" s="1"/>
  <c r="J190" i="15" s="1"/>
  <c r="K190" i="15" s="1"/>
  <c r="L190" i="15" s="1"/>
  <c r="M190" i="15" s="1"/>
  <c r="N190" i="15" s="1"/>
  <c r="O190" i="15" s="1"/>
  <c r="P190" i="15" s="1"/>
  <c r="Q190" i="15" s="1"/>
  <c r="R190" i="15" s="1"/>
  <c r="S190" i="15" s="1"/>
  <c r="T190" i="15" s="1"/>
  <c r="U190" i="15" s="1"/>
  <c r="V190" i="15" s="1"/>
  <c r="W190" i="15" s="1"/>
  <c r="X190" i="15" s="1"/>
  <c r="Y190" i="15" s="1"/>
  <c r="Z190" i="15" s="1"/>
  <c r="C189" i="15"/>
  <c r="D189" i="15" s="1"/>
  <c r="E189" i="15" s="1"/>
  <c r="F189" i="15" s="1"/>
  <c r="G189" i="15" s="1"/>
  <c r="H189" i="15" s="1"/>
  <c r="I189" i="15" s="1"/>
  <c r="J189" i="15" s="1"/>
  <c r="K189" i="15" s="1"/>
  <c r="L189" i="15" s="1"/>
  <c r="M189" i="15" s="1"/>
  <c r="N189" i="15" s="1"/>
  <c r="O189" i="15" s="1"/>
  <c r="P189" i="15" s="1"/>
  <c r="Q189" i="15" s="1"/>
  <c r="R189" i="15" s="1"/>
  <c r="S189" i="15" s="1"/>
  <c r="T189" i="15" s="1"/>
  <c r="U189" i="15" s="1"/>
  <c r="V189" i="15" s="1"/>
  <c r="W189" i="15" s="1"/>
  <c r="X189" i="15" s="1"/>
  <c r="Y189" i="15" s="1"/>
  <c r="Z189" i="15" s="1"/>
  <c r="C188" i="15"/>
  <c r="D188" i="15" s="1"/>
  <c r="E188" i="15" s="1"/>
  <c r="F188" i="15" s="1"/>
  <c r="G188" i="15" s="1"/>
  <c r="H188" i="15" s="1"/>
  <c r="I188" i="15" s="1"/>
  <c r="J188" i="15" s="1"/>
  <c r="K188" i="15" s="1"/>
  <c r="L188" i="15" s="1"/>
  <c r="M188" i="15" s="1"/>
  <c r="N188" i="15" s="1"/>
  <c r="O188" i="15" s="1"/>
  <c r="P188" i="15" s="1"/>
  <c r="Q188" i="15" s="1"/>
  <c r="R188" i="15" s="1"/>
  <c r="S188" i="15" s="1"/>
  <c r="T188" i="15" s="1"/>
  <c r="U188" i="15" s="1"/>
  <c r="V188" i="15" s="1"/>
  <c r="W188" i="15" s="1"/>
  <c r="X188" i="15" s="1"/>
  <c r="Y188" i="15" s="1"/>
  <c r="Z188" i="15" s="1"/>
  <c r="C187" i="15"/>
  <c r="D187" i="15" s="1"/>
  <c r="E187" i="15" s="1"/>
  <c r="F187" i="15" s="1"/>
  <c r="G187" i="15" s="1"/>
  <c r="H187" i="15" s="1"/>
  <c r="I187" i="15" s="1"/>
  <c r="J187" i="15" s="1"/>
  <c r="K187" i="15" s="1"/>
  <c r="L187" i="15" s="1"/>
  <c r="M187" i="15" s="1"/>
  <c r="N187" i="15" s="1"/>
  <c r="O187" i="15" s="1"/>
  <c r="P187" i="15" s="1"/>
  <c r="Q187" i="15" s="1"/>
  <c r="R187" i="15" s="1"/>
  <c r="S187" i="15" s="1"/>
  <c r="T187" i="15" s="1"/>
  <c r="U187" i="15" s="1"/>
  <c r="V187" i="15" s="1"/>
  <c r="W187" i="15" s="1"/>
  <c r="X187" i="15" s="1"/>
  <c r="Y187" i="15" s="1"/>
  <c r="Z187" i="15" s="1"/>
  <c r="C186" i="15"/>
  <c r="D186" i="15" s="1"/>
  <c r="E186" i="15" s="1"/>
  <c r="F186" i="15" s="1"/>
  <c r="G186" i="15" s="1"/>
  <c r="H186" i="15" s="1"/>
  <c r="I186" i="15" s="1"/>
  <c r="J186" i="15" s="1"/>
  <c r="K186" i="15" s="1"/>
  <c r="L186" i="15" s="1"/>
  <c r="M186" i="15" s="1"/>
  <c r="N186" i="15" s="1"/>
  <c r="O186" i="15" s="1"/>
  <c r="P186" i="15" s="1"/>
  <c r="Q186" i="15" s="1"/>
  <c r="R186" i="15" s="1"/>
  <c r="S186" i="15" s="1"/>
  <c r="T186" i="15" s="1"/>
  <c r="U186" i="15" s="1"/>
  <c r="V186" i="15" s="1"/>
  <c r="W186" i="15" s="1"/>
  <c r="X186" i="15" s="1"/>
  <c r="Y186" i="15" s="1"/>
  <c r="Z186" i="15" s="1"/>
  <c r="C185" i="15"/>
  <c r="D185" i="15" s="1"/>
  <c r="E185" i="15" s="1"/>
  <c r="F185" i="15" s="1"/>
  <c r="G185" i="15" s="1"/>
  <c r="H185" i="15" s="1"/>
  <c r="I185" i="15" s="1"/>
  <c r="J185" i="15" s="1"/>
  <c r="K185" i="15" s="1"/>
  <c r="L185" i="15" s="1"/>
  <c r="M185" i="15" s="1"/>
  <c r="N185" i="15" s="1"/>
  <c r="O185" i="15" s="1"/>
  <c r="P185" i="15" s="1"/>
  <c r="Q185" i="15" s="1"/>
  <c r="R185" i="15" s="1"/>
  <c r="S185" i="15" s="1"/>
  <c r="T185" i="15" s="1"/>
  <c r="U185" i="15" s="1"/>
  <c r="V185" i="15" s="1"/>
  <c r="W185" i="15" s="1"/>
  <c r="X185" i="15" s="1"/>
  <c r="Y185" i="15" s="1"/>
  <c r="Z185" i="15" s="1"/>
  <c r="C184" i="15"/>
  <c r="D184" i="15" s="1"/>
  <c r="E184" i="15" s="1"/>
  <c r="F184" i="15" s="1"/>
  <c r="G184" i="15" s="1"/>
  <c r="H184" i="15" s="1"/>
  <c r="I184" i="15" s="1"/>
  <c r="J184" i="15" s="1"/>
  <c r="K184" i="15" s="1"/>
  <c r="L184" i="15" s="1"/>
  <c r="M184" i="15" s="1"/>
  <c r="N184" i="15" s="1"/>
  <c r="O184" i="15" s="1"/>
  <c r="P184" i="15" s="1"/>
  <c r="Q184" i="15" s="1"/>
  <c r="R184" i="15" s="1"/>
  <c r="S184" i="15" s="1"/>
  <c r="T184" i="15" s="1"/>
  <c r="U184" i="15" s="1"/>
  <c r="V184" i="15" s="1"/>
  <c r="W184" i="15" s="1"/>
  <c r="X184" i="15" s="1"/>
  <c r="Y184" i="15" s="1"/>
  <c r="Z184" i="15" s="1"/>
  <c r="C183" i="15"/>
  <c r="D183" i="15" s="1"/>
  <c r="E183" i="15" s="1"/>
  <c r="F183" i="15" s="1"/>
  <c r="G183" i="15" s="1"/>
  <c r="H183" i="15" s="1"/>
  <c r="I183" i="15" s="1"/>
  <c r="J183" i="15" s="1"/>
  <c r="K183" i="15" s="1"/>
  <c r="L183" i="15" s="1"/>
  <c r="M183" i="15" s="1"/>
  <c r="N183" i="15" s="1"/>
  <c r="O183" i="15" s="1"/>
  <c r="P183" i="15" s="1"/>
  <c r="Q183" i="15" s="1"/>
  <c r="R183" i="15" s="1"/>
  <c r="S183" i="15" s="1"/>
  <c r="T183" i="15" s="1"/>
  <c r="U183" i="15" s="1"/>
  <c r="V183" i="15" s="1"/>
  <c r="W183" i="15" s="1"/>
  <c r="X183" i="15" s="1"/>
  <c r="Y183" i="15" s="1"/>
  <c r="Z183" i="15" s="1"/>
  <c r="C182" i="15"/>
  <c r="D182" i="15" s="1"/>
  <c r="E182" i="15" s="1"/>
  <c r="F182" i="15" s="1"/>
  <c r="G182" i="15" s="1"/>
  <c r="H182" i="15" s="1"/>
  <c r="I182" i="15" s="1"/>
  <c r="J182" i="15" s="1"/>
  <c r="K182" i="15" s="1"/>
  <c r="L182" i="15" s="1"/>
  <c r="M182" i="15" s="1"/>
  <c r="N182" i="15" s="1"/>
  <c r="O182" i="15" s="1"/>
  <c r="P182" i="15" s="1"/>
  <c r="Q182" i="15" s="1"/>
  <c r="R182" i="15" s="1"/>
  <c r="S182" i="15" s="1"/>
  <c r="T182" i="15" s="1"/>
  <c r="U182" i="15" s="1"/>
  <c r="V182" i="15" s="1"/>
  <c r="W182" i="15" s="1"/>
  <c r="X182" i="15" s="1"/>
  <c r="Y182" i="15" s="1"/>
  <c r="Z182" i="15" s="1"/>
  <c r="C181" i="15"/>
  <c r="D181" i="15" s="1"/>
  <c r="E181" i="15" s="1"/>
  <c r="F181" i="15" s="1"/>
  <c r="G181" i="15" s="1"/>
  <c r="H181" i="15" s="1"/>
  <c r="I181" i="15" s="1"/>
  <c r="J181" i="15" s="1"/>
  <c r="K181" i="15" s="1"/>
  <c r="L181" i="15" s="1"/>
  <c r="M181" i="15" s="1"/>
  <c r="N181" i="15" s="1"/>
  <c r="O181" i="15" s="1"/>
  <c r="P181" i="15" s="1"/>
  <c r="Q181" i="15" s="1"/>
  <c r="R181" i="15" s="1"/>
  <c r="S181" i="15" s="1"/>
  <c r="T181" i="15" s="1"/>
  <c r="U181" i="15" s="1"/>
  <c r="V181" i="15" s="1"/>
  <c r="W181" i="15" s="1"/>
  <c r="X181" i="15" s="1"/>
  <c r="Y181" i="15" s="1"/>
  <c r="Z181" i="15" s="1"/>
  <c r="C180" i="15"/>
  <c r="D180" i="15" s="1"/>
  <c r="E180" i="15" s="1"/>
  <c r="F180" i="15" s="1"/>
  <c r="G180" i="15" s="1"/>
  <c r="H180" i="15" s="1"/>
  <c r="I180" i="15" s="1"/>
  <c r="J180" i="15" s="1"/>
  <c r="K180" i="15" s="1"/>
  <c r="L180" i="15" s="1"/>
  <c r="M180" i="15" s="1"/>
  <c r="N180" i="15" s="1"/>
  <c r="O180" i="15" s="1"/>
  <c r="P180" i="15" s="1"/>
  <c r="Q180" i="15" s="1"/>
  <c r="R180" i="15" s="1"/>
  <c r="S180" i="15" s="1"/>
  <c r="T180" i="15" s="1"/>
  <c r="U180" i="15" s="1"/>
  <c r="V180" i="15" s="1"/>
  <c r="W180" i="15" s="1"/>
  <c r="X180" i="15" s="1"/>
  <c r="Y180" i="15" s="1"/>
  <c r="Z180" i="15" s="1"/>
  <c r="C179" i="15"/>
  <c r="D179" i="15" s="1"/>
  <c r="E179" i="15" s="1"/>
  <c r="F179" i="15" s="1"/>
  <c r="G179" i="15" s="1"/>
  <c r="H179" i="15" s="1"/>
  <c r="I179" i="15" s="1"/>
  <c r="J179" i="15" s="1"/>
  <c r="K179" i="15" s="1"/>
  <c r="L179" i="15" s="1"/>
  <c r="M179" i="15" s="1"/>
  <c r="N179" i="15" s="1"/>
  <c r="O179" i="15" s="1"/>
  <c r="P179" i="15" s="1"/>
  <c r="Q179" i="15" s="1"/>
  <c r="R179" i="15" s="1"/>
  <c r="S179" i="15" s="1"/>
  <c r="T179" i="15" s="1"/>
  <c r="U179" i="15" s="1"/>
  <c r="V179" i="15" s="1"/>
  <c r="W179" i="15" s="1"/>
  <c r="X179" i="15" s="1"/>
  <c r="Y179" i="15" s="1"/>
  <c r="Z179" i="15" s="1"/>
  <c r="C178" i="15"/>
  <c r="D178" i="15" s="1"/>
  <c r="E178" i="15" s="1"/>
  <c r="F178" i="15" s="1"/>
  <c r="G178" i="15" s="1"/>
  <c r="H178" i="15" s="1"/>
  <c r="I178" i="15" s="1"/>
  <c r="J178" i="15" s="1"/>
  <c r="K178" i="15" s="1"/>
  <c r="L178" i="15" s="1"/>
  <c r="M178" i="15" s="1"/>
  <c r="N178" i="15" s="1"/>
  <c r="O178" i="15" s="1"/>
  <c r="P178" i="15" s="1"/>
  <c r="Q178" i="15" s="1"/>
  <c r="R178" i="15" s="1"/>
  <c r="S178" i="15" s="1"/>
  <c r="T178" i="15" s="1"/>
  <c r="U178" i="15" s="1"/>
  <c r="V178" i="15" s="1"/>
  <c r="W178" i="15" s="1"/>
  <c r="X178" i="15" s="1"/>
  <c r="Y178" i="15" s="1"/>
  <c r="Z178" i="15" s="1"/>
  <c r="C177" i="15"/>
  <c r="D177" i="15" s="1"/>
  <c r="E177" i="15" s="1"/>
  <c r="F177" i="15" s="1"/>
  <c r="G177" i="15" s="1"/>
  <c r="H177" i="15" s="1"/>
  <c r="I177" i="15" s="1"/>
  <c r="J177" i="15" s="1"/>
  <c r="K177" i="15" s="1"/>
  <c r="L177" i="15" s="1"/>
  <c r="M177" i="15" s="1"/>
  <c r="N177" i="15" s="1"/>
  <c r="O177" i="15" s="1"/>
  <c r="P177" i="15" s="1"/>
  <c r="Q177" i="15" s="1"/>
  <c r="R177" i="15" s="1"/>
  <c r="S177" i="15" s="1"/>
  <c r="T177" i="15" s="1"/>
  <c r="U177" i="15" s="1"/>
  <c r="V177" i="15" s="1"/>
  <c r="W177" i="15" s="1"/>
  <c r="X177" i="15" s="1"/>
  <c r="Y177" i="15" s="1"/>
  <c r="Z177" i="15" s="1"/>
  <c r="C176" i="15"/>
  <c r="D176" i="15" s="1"/>
  <c r="E176" i="15" s="1"/>
  <c r="F176" i="15" s="1"/>
  <c r="G176" i="15" s="1"/>
  <c r="H176" i="15" s="1"/>
  <c r="I176" i="15" s="1"/>
  <c r="J176" i="15" s="1"/>
  <c r="K176" i="15" s="1"/>
  <c r="L176" i="15" s="1"/>
  <c r="M176" i="15" s="1"/>
  <c r="N176" i="15" s="1"/>
  <c r="O176" i="15" s="1"/>
  <c r="P176" i="15" s="1"/>
  <c r="Q176" i="15" s="1"/>
  <c r="R176" i="15" s="1"/>
  <c r="S176" i="15" s="1"/>
  <c r="T176" i="15" s="1"/>
  <c r="U176" i="15" s="1"/>
  <c r="V176" i="15" s="1"/>
  <c r="W176" i="15" s="1"/>
  <c r="X176" i="15" s="1"/>
  <c r="Y176" i="15" s="1"/>
  <c r="Z176" i="15" s="1"/>
  <c r="C175" i="15"/>
  <c r="D175" i="15" s="1"/>
  <c r="E175" i="15" s="1"/>
  <c r="F175" i="15" s="1"/>
  <c r="G175" i="15" s="1"/>
  <c r="H175" i="15" s="1"/>
  <c r="I175" i="15" s="1"/>
  <c r="J175" i="15" s="1"/>
  <c r="K175" i="15" s="1"/>
  <c r="L175" i="15" s="1"/>
  <c r="M175" i="15" s="1"/>
  <c r="N175" i="15" s="1"/>
  <c r="O175" i="15" s="1"/>
  <c r="P175" i="15" s="1"/>
  <c r="Q175" i="15" s="1"/>
  <c r="R175" i="15" s="1"/>
  <c r="S175" i="15" s="1"/>
  <c r="T175" i="15" s="1"/>
  <c r="U175" i="15" s="1"/>
  <c r="V175" i="15" s="1"/>
  <c r="W175" i="15" s="1"/>
  <c r="X175" i="15" s="1"/>
  <c r="Y175" i="15" s="1"/>
  <c r="Z175" i="15" s="1"/>
  <c r="C174" i="15"/>
  <c r="D174" i="15" s="1"/>
  <c r="E174" i="15" s="1"/>
  <c r="F174" i="15" s="1"/>
  <c r="G174" i="15" s="1"/>
  <c r="H174" i="15" s="1"/>
  <c r="I174" i="15" s="1"/>
  <c r="J174" i="15" s="1"/>
  <c r="K174" i="15" s="1"/>
  <c r="L174" i="15" s="1"/>
  <c r="M174" i="15" s="1"/>
  <c r="N174" i="15" s="1"/>
  <c r="O174" i="15" s="1"/>
  <c r="P174" i="15" s="1"/>
  <c r="Q174" i="15" s="1"/>
  <c r="R174" i="15" s="1"/>
  <c r="S174" i="15" s="1"/>
  <c r="T174" i="15" s="1"/>
  <c r="U174" i="15" s="1"/>
  <c r="V174" i="15" s="1"/>
  <c r="W174" i="15" s="1"/>
  <c r="X174" i="15" s="1"/>
  <c r="Y174" i="15" s="1"/>
  <c r="Z174" i="15" s="1"/>
  <c r="C173" i="15"/>
  <c r="D173" i="15" s="1"/>
  <c r="E173" i="15" s="1"/>
  <c r="F173" i="15" s="1"/>
  <c r="G173" i="15" s="1"/>
  <c r="H173" i="15" s="1"/>
  <c r="I173" i="15" s="1"/>
  <c r="J173" i="15" s="1"/>
  <c r="K173" i="15" s="1"/>
  <c r="L173" i="15" s="1"/>
  <c r="M173" i="15" s="1"/>
  <c r="N173" i="15" s="1"/>
  <c r="O173" i="15" s="1"/>
  <c r="P173" i="15" s="1"/>
  <c r="Q173" i="15" s="1"/>
  <c r="R173" i="15" s="1"/>
  <c r="S173" i="15" s="1"/>
  <c r="T173" i="15" s="1"/>
  <c r="U173" i="15" s="1"/>
  <c r="V173" i="15" s="1"/>
  <c r="W173" i="15" s="1"/>
  <c r="X173" i="15" s="1"/>
  <c r="Y173" i="15" s="1"/>
  <c r="Z173" i="15" s="1"/>
  <c r="C172" i="15"/>
  <c r="D172" i="15" s="1"/>
  <c r="E172" i="15" s="1"/>
  <c r="F172" i="15" s="1"/>
  <c r="G172" i="15" s="1"/>
  <c r="H172" i="15" s="1"/>
  <c r="I172" i="15" s="1"/>
  <c r="J172" i="15" s="1"/>
  <c r="K172" i="15" s="1"/>
  <c r="L172" i="15" s="1"/>
  <c r="M172" i="15" s="1"/>
  <c r="N172" i="15" s="1"/>
  <c r="O172" i="15" s="1"/>
  <c r="P172" i="15" s="1"/>
  <c r="Q172" i="15" s="1"/>
  <c r="R172" i="15" s="1"/>
  <c r="S172" i="15" s="1"/>
  <c r="T172" i="15" s="1"/>
  <c r="U172" i="15" s="1"/>
  <c r="V172" i="15" s="1"/>
  <c r="W172" i="15" s="1"/>
  <c r="X172" i="15" s="1"/>
  <c r="Y172" i="15" s="1"/>
  <c r="Z172" i="15" s="1"/>
  <c r="C171" i="15"/>
  <c r="D171" i="15" s="1"/>
  <c r="E171" i="15" s="1"/>
  <c r="F171" i="15" s="1"/>
  <c r="G171" i="15" s="1"/>
  <c r="H171" i="15" s="1"/>
  <c r="I171" i="15" s="1"/>
  <c r="J171" i="15" s="1"/>
  <c r="K171" i="15" s="1"/>
  <c r="L171" i="15" s="1"/>
  <c r="M171" i="15" s="1"/>
  <c r="N171" i="15" s="1"/>
  <c r="O171" i="15" s="1"/>
  <c r="P171" i="15" s="1"/>
  <c r="Q171" i="15" s="1"/>
  <c r="R171" i="15" s="1"/>
  <c r="S171" i="15" s="1"/>
  <c r="T171" i="15" s="1"/>
  <c r="U171" i="15" s="1"/>
  <c r="V171" i="15" s="1"/>
  <c r="W171" i="15" s="1"/>
  <c r="X171" i="15" s="1"/>
  <c r="Y171" i="15" s="1"/>
  <c r="Z171" i="15" s="1"/>
  <c r="C170" i="15"/>
  <c r="D170" i="15" s="1"/>
  <c r="E170" i="15" s="1"/>
  <c r="F170" i="15" s="1"/>
  <c r="G170" i="15" s="1"/>
  <c r="H170" i="15" s="1"/>
  <c r="I170" i="15" s="1"/>
  <c r="J170" i="15" s="1"/>
  <c r="K170" i="15" s="1"/>
  <c r="L170" i="15" s="1"/>
  <c r="M170" i="15" s="1"/>
  <c r="N170" i="15" s="1"/>
  <c r="O170" i="15" s="1"/>
  <c r="P170" i="15" s="1"/>
  <c r="Q170" i="15" s="1"/>
  <c r="R170" i="15" s="1"/>
  <c r="S170" i="15" s="1"/>
  <c r="T170" i="15" s="1"/>
  <c r="U170" i="15" s="1"/>
  <c r="V170" i="15" s="1"/>
  <c r="W170" i="15" s="1"/>
  <c r="X170" i="15" s="1"/>
  <c r="Y170" i="15" s="1"/>
  <c r="Z170" i="15" s="1"/>
  <c r="C169" i="15"/>
  <c r="D169" i="15" s="1"/>
  <c r="E169" i="15" s="1"/>
  <c r="F169" i="15" s="1"/>
  <c r="G169" i="15" s="1"/>
  <c r="H169" i="15" s="1"/>
  <c r="I169" i="15" s="1"/>
  <c r="J169" i="15" s="1"/>
  <c r="K169" i="15" s="1"/>
  <c r="L169" i="15" s="1"/>
  <c r="M169" i="15" s="1"/>
  <c r="N169" i="15" s="1"/>
  <c r="O169" i="15" s="1"/>
  <c r="P169" i="15" s="1"/>
  <c r="Q169" i="15" s="1"/>
  <c r="R169" i="15" s="1"/>
  <c r="S169" i="15" s="1"/>
  <c r="T169" i="15" s="1"/>
  <c r="U169" i="15" s="1"/>
  <c r="V169" i="15" s="1"/>
  <c r="W169" i="15" s="1"/>
  <c r="X169" i="15" s="1"/>
  <c r="Y169" i="15" s="1"/>
  <c r="Z169" i="15" s="1"/>
  <c r="C168" i="15"/>
  <c r="D168" i="15" s="1"/>
  <c r="E168" i="15" s="1"/>
  <c r="F168" i="15" s="1"/>
  <c r="G168" i="15" s="1"/>
  <c r="H168" i="15" s="1"/>
  <c r="I168" i="15" s="1"/>
  <c r="J168" i="15" s="1"/>
  <c r="K168" i="15" s="1"/>
  <c r="L168" i="15" s="1"/>
  <c r="M168" i="15" s="1"/>
  <c r="N168" i="15" s="1"/>
  <c r="O168" i="15" s="1"/>
  <c r="P168" i="15" s="1"/>
  <c r="Q168" i="15" s="1"/>
  <c r="R168" i="15" s="1"/>
  <c r="S168" i="15" s="1"/>
  <c r="T168" i="15" s="1"/>
  <c r="U168" i="15" s="1"/>
  <c r="V168" i="15" s="1"/>
  <c r="W168" i="15" s="1"/>
  <c r="X168" i="15" s="1"/>
  <c r="Y168" i="15" s="1"/>
  <c r="Z168" i="15" s="1"/>
  <c r="C167" i="15"/>
  <c r="D167" i="15" s="1"/>
  <c r="E167" i="15" s="1"/>
  <c r="F167" i="15" s="1"/>
  <c r="G167" i="15" s="1"/>
  <c r="H167" i="15" s="1"/>
  <c r="I167" i="15" s="1"/>
  <c r="J167" i="15" s="1"/>
  <c r="K167" i="15" s="1"/>
  <c r="L167" i="15" s="1"/>
  <c r="M167" i="15" s="1"/>
  <c r="N167" i="15" s="1"/>
  <c r="O167" i="15" s="1"/>
  <c r="P167" i="15" s="1"/>
  <c r="Q167" i="15" s="1"/>
  <c r="R167" i="15" s="1"/>
  <c r="S167" i="15" s="1"/>
  <c r="T167" i="15" s="1"/>
  <c r="U167" i="15" s="1"/>
  <c r="V167" i="15" s="1"/>
  <c r="W167" i="15" s="1"/>
  <c r="X167" i="15" s="1"/>
  <c r="Y167" i="15" s="1"/>
  <c r="Z167" i="15" s="1"/>
  <c r="C166" i="15"/>
  <c r="D166" i="15" s="1"/>
  <c r="E166" i="15" s="1"/>
  <c r="F166" i="15" s="1"/>
  <c r="G166" i="15" s="1"/>
  <c r="H166" i="15" s="1"/>
  <c r="I166" i="15" s="1"/>
  <c r="J166" i="15" s="1"/>
  <c r="K166" i="15" s="1"/>
  <c r="L166" i="15" s="1"/>
  <c r="M166" i="15" s="1"/>
  <c r="N166" i="15" s="1"/>
  <c r="O166" i="15" s="1"/>
  <c r="P166" i="15" s="1"/>
  <c r="Q166" i="15" s="1"/>
  <c r="R166" i="15" s="1"/>
  <c r="S166" i="15" s="1"/>
  <c r="T166" i="15" s="1"/>
  <c r="U166" i="15" s="1"/>
  <c r="V166" i="15" s="1"/>
  <c r="W166" i="15" s="1"/>
  <c r="X166" i="15" s="1"/>
  <c r="Y166" i="15" s="1"/>
  <c r="Z166" i="15" s="1"/>
  <c r="C165" i="15"/>
  <c r="D165" i="15" s="1"/>
  <c r="E165" i="15" s="1"/>
  <c r="F165" i="15" s="1"/>
  <c r="G165" i="15" s="1"/>
  <c r="H165" i="15" s="1"/>
  <c r="I165" i="15" s="1"/>
  <c r="J165" i="15" s="1"/>
  <c r="K165" i="15" s="1"/>
  <c r="L165" i="15" s="1"/>
  <c r="M165" i="15" s="1"/>
  <c r="N165" i="15" s="1"/>
  <c r="O165" i="15" s="1"/>
  <c r="P165" i="15" s="1"/>
  <c r="Q165" i="15" s="1"/>
  <c r="R165" i="15" s="1"/>
  <c r="S165" i="15" s="1"/>
  <c r="T165" i="15" s="1"/>
  <c r="U165" i="15" s="1"/>
  <c r="V165" i="15" s="1"/>
  <c r="W165" i="15" s="1"/>
  <c r="X165" i="15" s="1"/>
  <c r="Y165" i="15" s="1"/>
  <c r="Z165" i="15" s="1"/>
  <c r="C164" i="15"/>
  <c r="D164" i="15" s="1"/>
  <c r="E164" i="15" s="1"/>
  <c r="F164" i="15" s="1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C163" i="15"/>
  <c r="D163" i="15" s="1"/>
  <c r="E163" i="15" s="1"/>
  <c r="F163" i="15" s="1"/>
  <c r="G163" i="15" s="1"/>
  <c r="H163" i="15" s="1"/>
  <c r="I163" i="15" s="1"/>
  <c r="J163" i="15" s="1"/>
  <c r="K163" i="15" s="1"/>
  <c r="L163" i="15" s="1"/>
  <c r="M163" i="15" s="1"/>
  <c r="N163" i="15" s="1"/>
  <c r="O163" i="15" s="1"/>
  <c r="P163" i="15" s="1"/>
  <c r="Q163" i="15" s="1"/>
  <c r="R163" i="15" s="1"/>
  <c r="S163" i="15" s="1"/>
  <c r="T163" i="15" s="1"/>
  <c r="U163" i="15" s="1"/>
  <c r="V163" i="15" s="1"/>
  <c r="W163" i="15" s="1"/>
  <c r="X163" i="15" s="1"/>
  <c r="Y163" i="15" s="1"/>
  <c r="Z163" i="15" s="1"/>
  <c r="C162" i="15"/>
  <c r="D162" i="15" s="1"/>
  <c r="E162" i="15" s="1"/>
  <c r="F162" i="15" s="1"/>
  <c r="G162" i="15" s="1"/>
  <c r="H162" i="15" s="1"/>
  <c r="I162" i="15" s="1"/>
  <c r="J162" i="15" s="1"/>
  <c r="K162" i="15" s="1"/>
  <c r="L162" i="15" s="1"/>
  <c r="M162" i="15" s="1"/>
  <c r="N162" i="15" s="1"/>
  <c r="O162" i="15" s="1"/>
  <c r="P162" i="15" s="1"/>
  <c r="Q162" i="15" s="1"/>
  <c r="R162" i="15" s="1"/>
  <c r="S162" i="15" s="1"/>
  <c r="T162" i="15" s="1"/>
  <c r="U162" i="15" s="1"/>
  <c r="V162" i="15" s="1"/>
  <c r="W162" i="15" s="1"/>
  <c r="X162" i="15" s="1"/>
  <c r="Y162" i="15" s="1"/>
  <c r="Z162" i="15" s="1"/>
  <c r="C161" i="15"/>
  <c r="D161" i="15" s="1"/>
  <c r="E161" i="15" s="1"/>
  <c r="F161" i="15" s="1"/>
  <c r="G161" i="15" s="1"/>
  <c r="H161" i="15" s="1"/>
  <c r="I161" i="15" s="1"/>
  <c r="J161" i="15" s="1"/>
  <c r="K161" i="15" s="1"/>
  <c r="L161" i="15" s="1"/>
  <c r="M161" i="15" s="1"/>
  <c r="N161" i="15" s="1"/>
  <c r="O161" i="15" s="1"/>
  <c r="P161" i="15" s="1"/>
  <c r="Q161" i="15" s="1"/>
  <c r="R161" i="15" s="1"/>
  <c r="S161" i="15" s="1"/>
  <c r="T161" i="15" s="1"/>
  <c r="U161" i="15" s="1"/>
  <c r="V161" i="15" s="1"/>
  <c r="W161" i="15" s="1"/>
  <c r="X161" i="15" s="1"/>
  <c r="Y161" i="15" s="1"/>
  <c r="Z161" i="15" s="1"/>
  <c r="C160" i="15"/>
  <c r="D160" i="15" s="1"/>
  <c r="E160" i="15" s="1"/>
  <c r="F160" i="15" s="1"/>
  <c r="G160" i="15" s="1"/>
  <c r="H160" i="15" s="1"/>
  <c r="I160" i="15" s="1"/>
  <c r="J160" i="15" s="1"/>
  <c r="K160" i="15" s="1"/>
  <c r="L160" i="15" s="1"/>
  <c r="M160" i="15" s="1"/>
  <c r="N160" i="15" s="1"/>
  <c r="O160" i="15" s="1"/>
  <c r="P160" i="15" s="1"/>
  <c r="Q160" i="15" s="1"/>
  <c r="R160" i="15" s="1"/>
  <c r="S160" i="15" s="1"/>
  <c r="T160" i="15" s="1"/>
  <c r="U160" i="15" s="1"/>
  <c r="V160" i="15" s="1"/>
  <c r="W160" i="15" s="1"/>
  <c r="X160" i="15" s="1"/>
  <c r="Y160" i="15" s="1"/>
  <c r="Z160" i="15" s="1"/>
  <c r="C159" i="15"/>
  <c r="D159" i="15" s="1"/>
  <c r="E159" i="15" s="1"/>
  <c r="F159" i="15" s="1"/>
  <c r="G159" i="15" s="1"/>
  <c r="H159" i="15" s="1"/>
  <c r="I159" i="15" s="1"/>
  <c r="J159" i="15" s="1"/>
  <c r="K159" i="15" s="1"/>
  <c r="L159" i="15" s="1"/>
  <c r="M159" i="15" s="1"/>
  <c r="N159" i="15" s="1"/>
  <c r="O159" i="15" s="1"/>
  <c r="P159" i="15" s="1"/>
  <c r="Q159" i="15" s="1"/>
  <c r="R159" i="15" s="1"/>
  <c r="S159" i="15" s="1"/>
  <c r="T159" i="15" s="1"/>
  <c r="U159" i="15" s="1"/>
  <c r="V159" i="15" s="1"/>
  <c r="W159" i="15" s="1"/>
  <c r="X159" i="15" s="1"/>
  <c r="Y159" i="15" s="1"/>
  <c r="Z159" i="15" s="1"/>
  <c r="C158" i="15"/>
  <c r="D158" i="15" s="1"/>
  <c r="E158" i="15" s="1"/>
  <c r="F158" i="15" s="1"/>
  <c r="G158" i="15" s="1"/>
  <c r="H158" i="15" s="1"/>
  <c r="I158" i="15" s="1"/>
  <c r="J158" i="15" s="1"/>
  <c r="K158" i="15" s="1"/>
  <c r="L158" i="15" s="1"/>
  <c r="M158" i="15" s="1"/>
  <c r="N158" i="15" s="1"/>
  <c r="O158" i="15" s="1"/>
  <c r="P158" i="15" s="1"/>
  <c r="Q158" i="15" s="1"/>
  <c r="R158" i="15" s="1"/>
  <c r="S158" i="15" s="1"/>
  <c r="T158" i="15" s="1"/>
  <c r="U158" i="15" s="1"/>
  <c r="V158" i="15" s="1"/>
  <c r="W158" i="15" s="1"/>
  <c r="X158" i="15" s="1"/>
  <c r="Y158" i="15" s="1"/>
  <c r="Z158" i="15" s="1"/>
  <c r="C157" i="15"/>
  <c r="D157" i="15" s="1"/>
  <c r="E157" i="15" s="1"/>
  <c r="F157" i="15" s="1"/>
  <c r="G157" i="15" s="1"/>
  <c r="H157" i="15" s="1"/>
  <c r="I157" i="15" s="1"/>
  <c r="J157" i="15" s="1"/>
  <c r="K157" i="15" s="1"/>
  <c r="L157" i="15" s="1"/>
  <c r="M157" i="15" s="1"/>
  <c r="N157" i="15" s="1"/>
  <c r="O157" i="15" s="1"/>
  <c r="P157" i="15" s="1"/>
  <c r="Q157" i="15" s="1"/>
  <c r="R157" i="15" s="1"/>
  <c r="S157" i="15" s="1"/>
  <c r="T157" i="15" s="1"/>
  <c r="U157" i="15" s="1"/>
  <c r="V157" i="15" s="1"/>
  <c r="W157" i="15" s="1"/>
  <c r="X157" i="15" s="1"/>
  <c r="Y157" i="15" s="1"/>
  <c r="Z157" i="15" s="1"/>
  <c r="C156" i="15"/>
  <c r="D156" i="15" s="1"/>
  <c r="E156" i="15" s="1"/>
  <c r="F156" i="15" s="1"/>
  <c r="G156" i="15" s="1"/>
  <c r="H156" i="15" s="1"/>
  <c r="I156" i="15" s="1"/>
  <c r="J156" i="15" s="1"/>
  <c r="K156" i="15" s="1"/>
  <c r="L156" i="15" s="1"/>
  <c r="M156" i="15" s="1"/>
  <c r="N156" i="15" s="1"/>
  <c r="O156" i="15" s="1"/>
  <c r="P156" i="15" s="1"/>
  <c r="Q156" i="15" s="1"/>
  <c r="R156" i="15" s="1"/>
  <c r="S156" i="15" s="1"/>
  <c r="T156" i="15" s="1"/>
  <c r="U156" i="15" s="1"/>
  <c r="V156" i="15" s="1"/>
  <c r="W156" i="15" s="1"/>
  <c r="X156" i="15" s="1"/>
  <c r="Y156" i="15" s="1"/>
  <c r="Z156" i="15" s="1"/>
  <c r="C155" i="15"/>
  <c r="D155" i="15" s="1"/>
  <c r="E155" i="15" s="1"/>
  <c r="F155" i="15" s="1"/>
  <c r="G155" i="15" s="1"/>
  <c r="H155" i="15" s="1"/>
  <c r="I155" i="15" s="1"/>
  <c r="J155" i="15" s="1"/>
  <c r="K155" i="15" s="1"/>
  <c r="L155" i="15" s="1"/>
  <c r="M155" i="15" s="1"/>
  <c r="N155" i="15" s="1"/>
  <c r="O155" i="15" s="1"/>
  <c r="P155" i="15" s="1"/>
  <c r="Q155" i="15" s="1"/>
  <c r="R155" i="15" s="1"/>
  <c r="S155" i="15" s="1"/>
  <c r="T155" i="15" s="1"/>
  <c r="U155" i="15" s="1"/>
  <c r="V155" i="15" s="1"/>
  <c r="W155" i="15" s="1"/>
  <c r="X155" i="15" s="1"/>
  <c r="Y155" i="15" s="1"/>
  <c r="Z155" i="15" s="1"/>
  <c r="C154" i="15"/>
  <c r="D154" i="15" s="1"/>
  <c r="E154" i="15" s="1"/>
  <c r="F154" i="15" s="1"/>
  <c r="G154" i="15" s="1"/>
  <c r="H154" i="15" s="1"/>
  <c r="I154" i="15" s="1"/>
  <c r="J154" i="15" s="1"/>
  <c r="K154" i="15" s="1"/>
  <c r="L154" i="15" s="1"/>
  <c r="M154" i="15" s="1"/>
  <c r="N154" i="15" s="1"/>
  <c r="O154" i="15" s="1"/>
  <c r="P154" i="15" s="1"/>
  <c r="Q154" i="15" s="1"/>
  <c r="R154" i="15" s="1"/>
  <c r="S154" i="15" s="1"/>
  <c r="T154" i="15" s="1"/>
  <c r="U154" i="15" s="1"/>
  <c r="V154" i="15" s="1"/>
  <c r="W154" i="15" s="1"/>
  <c r="X154" i="15" s="1"/>
  <c r="Y154" i="15" s="1"/>
  <c r="Z154" i="15" s="1"/>
  <c r="C153" i="15"/>
  <c r="D153" i="15" s="1"/>
  <c r="E153" i="15" s="1"/>
  <c r="F153" i="15" s="1"/>
  <c r="G153" i="15" s="1"/>
  <c r="H153" i="15" s="1"/>
  <c r="I153" i="15" s="1"/>
  <c r="J153" i="15" s="1"/>
  <c r="K153" i="15" s="1"/>
  <c r="L153" i="15" s="1"/>
  <c r="M153" i="15" s="1"/>
  <c r="N153" i="15" s="1"/>
  <c r="O153" i="15" s="1"/>
  <c r="P153" i="15" s="1"/>
  <c r="Q153" i="15" s="1"/>
  <c r="R153" i="15" s="1"/>
  <c r="S153" i="15" s="1"/>
  <c r="T153" i="15" s="1"/>
  <c r="U153" i="15" s="1"/>
  <c r="V153" i="15" s="1"/>
  <c r="W153" i="15" s="1"/>
  <c r="X153" i="15" s="1"/>
  <c r="Y153" i="15" s="1"/>
  <c r="Z153" i="15" s="1"/>
  <c r="C152" i="15"/>
  <c r="D152" i="15" s="1"/>
  <c r="E152" i="15" s="1"/>
  <c r="F152" i="15" s="1"/>
  <c r="G152" i="15" s="1"/>
  <c r="H152" i="15" s="1"/>
  <c r="I152" i="15" s="1"/>
  <c r="J152" i="15" s="1"/>
  <c r="K152" i="15" s="1"/>
  <c r="L152" i="15" s="1"/>
  <c r="M152" i="15" s="1"/>
  <c r="N152" i="15" s="1"/>
  <c r="O152" i="15" s="1"/>
  <c r="P152" i="15" s="1"/>
  <c r="Q152" i="15" s="1"/>
  <c r="R152" i="15" s="1"/>
  <c r="S152" i="15" s="1"/>
  <c r="T152" i="15" s="1"/>
  <c r="U152" i="15" s="1"/>
  <c r="V152" i="15" s="1"/>
  <c r="W152" i="15" s="1"/>
  <c r="X152" i="15" s="1"/>
  <c r="Y152" i="15" s="1"/>
  <c r="Z152" i="15" s="1"/>
  <c r="C151" i="15"/>
  <c r="D151" i="15" s="1"/>
  <c r="E151" i="15" s="1"/>
  <c r="F151" i="15" s="1"/>
  <c r="G151" i="15" s="1"/>
  <c r="H151" i="15" s="1"/>
  <c r="I151" i="15" s="1"/>
  <c r="J151" i="15" s="1"/>
  <c r="K151" i="15" s="1"/>
  <c r="L151" i="15" s="1"/>
  <c r="M151" i="15" s="1"/>
  <c r="N151" i="15" s="1"/>
  <c r="O151" i="15" s="1"/>
  <c r="P151" i="15" s="1"/>
  <c r="Q151" i="15" s="1"/>
  <c r="R151" i="15" s="1"/>
  <c r="S151" i="15" s="1"/>
  <c r="T151" i="15" s="1"/>
  <c r="U151" i="15" s="1"/>
  <c r="V151" i="15" s="1"/>
  <c r="W151" i="15" s="1"/>
  <c r="X151" i="15" s="1"/>
  <c r="Y151" i="15" s="1"/>
  <c r="Z151" i="15" s="1"/>
  <c r="C150" i="15"/>
  <c r="D150" i="15" s="1"/>
  <c r="E150" i="15" s="1"/>
  <c r="F150" i="15" s="1"/>
  <c r="G150" i="15" s="1"/>
  <c r="H150" i="15" s="1"/>
  <c r="I150" i="15" s="1"/>
  <c r="J150" i="15" s="1"/>
  <c r="K150" i="15" s="1"/>
  <c r="L150" i="15" s="1"/>
  <c r="M150" i="15" s="1"/>
  <c r="N150" i="15" s="1"/>
  <c r="O150" i="15" s="1"/>
  <c r="P150" i="15" s="1"/>
  <c r="Q150" i="15" s="1"/>
  <c r="R150" i="15" s="1"/>
  <c r="S150" i="15" s="1"/>
  <c r="T150" i="15" s="1"/>
  <c r="U150" i="15" s="1"/>
  <c r="V150" i="15" s="1"/>
  <c r="W150" i="15" s="1"/>
  <c r="X150" i="15" s="1"/>
  <c r="Y150" i="15" s="1"/>
  <c r="Z150" i="15" s="1"/>
  <c r="C149" i="15"/>
  <c r="D149" i="15"/>
  <c r="E149" i="15" s="1"/>
  <c r="F149" i="15" s="1"/>
  <c r="G149" i="15" s="1"/>
  <c r="H149" i="15" s="1"/>
  <c r="I149" i="15" s="1"/>
  <c r="J149" i="15" s="1"/>
  <c r="K149" i="15" s="1"/>
  <c r="L149" i="15" s="1"/>
  <c r="M149" i="15" s="1"/>
  <c r="N149" i="15" s="1"/>
  <c r="O149" i="15" s="1"/>
  <c r="P149" i="15" s="1"/>
  <c r="Q149" i="15" s="1"/>
  <c r="R149" i="15" s="1"/>
  <c r="S149" i="15" s="1"/>
  <c r="T149" i="15" s="1"/>
  <c r="U149" i="15" s="1"/>
  <c r="V149" i="15" s="1"/>
  <c r="W149" i="15" s="1"/>
  <c r="X149" i="15" s="1"/>
  <c r="Y149" i="15" s="1"/>
  <c r="Z149" i="15" s="1"/>
  <c r="C148" i="15"/>
  <c r="D148" i="15" s="1"/>
  <c r="E148" i="15" s="1"/>
  <c r="F148" i="15" s="1"/>
  <c r="G148" i="15" s="1"/>
  <c r="H148" i="15" s="1"/>
  <c r="I148" i="15" s="1"/>
  <c r="J148" i="15" s="1"/>
  <c r="K148" i="15" s="1"/>
  <c r="L148" i="15" s="1"/>
  <c r="M148" i="15" s="1"/>
  <c r="N148" i="15" s="1"/>
  <c r="O148" i="15" s="1"/>
  <c r="P148" i="15" s="1"/>
  <c r="Q148" i="15" s="1"/>
  <c r="R148" i="15" s="1"/>
  <c r="S148" i="15" s="1"/>
  <c r="T148" i="15" s="1"/>
  <c r="U148" i="15" s="1"/>
  <c r="V148" i="15" s="1"/>
  <c r="W148" i="15" s="1"/>
  <c r="X148" i="15" s="1"/>
  <c r="Y148" i="15" s="1"/>
  <c r="Z148" i="15" s="1"/>
  <c r="C147" i="15"/>
  <c r="D147" i="15" s="1"/>
  <c r="E147" i="15" s="1"/>
  <c r="F147" i="15" s="1"/>
  <c r="G147" i="15" s="1"/>
  <c r="H147" i="15" s="1"/>
  <c r="I147" i="15" s="1"/>
  <c r="J147" i="15" s="1"/>
  <c r="K147" i="15" s="1"/>
  <c r="L147" i="15" s="1"/>
  <c r="M147" i="15" s="1"/>
  <c r="N147" i="15" s="1"/>
  <c r="O147" i="15" s="1"/>
  <c r="P147" i="15" s="1"/>
  <c r="Q147" i="15" s="1"/>
  <c r="R147" i="15" s="1"/>
  <c r="S147" i="15" s="1"/>
  <c r="T147" i="15" s="1"/>
  <c r="U147" i="15" s="1"/>
  <c r="V147" i="15" s="1"/>
  <c r="W147" i="15" s="1"/>
  <c r="X147" i="15" s="1"/>
  <c r="Y147" i="15" s="1"/>
  <c r="Z147" i="15" s="1"/>
  <c r="C146" i="15"/>
  <c r="D146" i="15" s="1"/>
  <c r="E146" i="15" s="1"/>
  <c r="F146" i="15" s="1"/>
  <c r="G146" i="15" s="1"/>
  <c r="H146" i="15" s="1"/>
  <c r="I146" i="15" s="1"/>
  <c r="J146" i="15" s="1"/>
  <c r="K146" i="15" s="1"/>
  <c r="L146" i="15" s="1"/>
  <c r="M146" i="15" s="1"/>
  <c r="N146" i="15" s="1"/>
  <c r="O146" i="15" s="1"/>
  <c r="P146" i="15" s="1"/>
  <c r="Q146" i="15" s="1"/>
  <c r="R146" i="15" s="1"/>
  <c r="S146" i="15" s="1"/>
  <c r="T146" i="15" s="1"/>
  <c r="U146" i="15" s="1"/>
  <c r="V146" i="15" s="1"/>
  <c r="W146" i="15" s="1"/>
  <c r="X146" i="15" s="1"/>
  <c r="Y146" i="15" s="1"/>
  <c r="Z146" i="15" s="1"/>
  <c r="C145" i="15"/>
  <c r="D145" i="15" s="1"/>
  <c r="E145" i="15" s="1"/>
  <c r="F145" i="15" s="1"/>
  <c r="G145" i="15" s="1"/>
  <c r="H145" i="15" s="1"/>
  <c r="I145" i="15" s="1"/>
  <c r="J145" i="15" s="1"/>
  <c r="K145" i="15" s="1"/>
  <c r="L145" i="15" s="1"/>
  <c r="M145" i="15" s="1"/>
  <c r="N145" i="15" s="1"/>
  <c r="O145" i="15" s="1"/>
  <c r="P145" i="15" s="1"/>
  <c r="Q145" i="15" s="1"/>
  <c r="R145" i="15" s="1"/>
  <c r="S145" i="15" s="1"/>
  <c r="T145" i="15" s="1"/>
  <c r="U145" i="15" s="1"/>
  <c r="V145" i="15" s="1"/>
  <c r="W145" i="15" s="1"/>
  <c r="X145" i="15" s="1"/>
  <c r="Y145" i="15" s="1"/>
  <c r="Z145" i="15" s="1"/>
  <c r="C144" i="15"/>
  <c r="D144" i="15" s="1"/>
  <c r="E144" i="15" s="1"/>
  <c r="F144" i="15" s="1"/>
  <c r="G144" i="15" s="1"/>
  <c r="H144" i="15" s="1"/>
  <c r="I144" i="15" s="1"/>
  <c r="J144" i="15" s="1"/>
  <c r="K144" i="15" s="1"/>
  <c r="L144" i="15" s="1"/>
  <c r="M144" i="15" s="1"/>
  <c r="N144" i="15" s="1"/>
  <c r="O144" i="15" s="1"/>
  <c r="P144" i="15" s="1"/>
  <c r="Q144" i="15" s="1"/>
  <c r="R144" i="15" s="1"/>
  <c r="S144" i="15" s="1"/>
  <c r="T144" i="15" s="1"/>
  <c r="U144" i="15" s="1"/>
  <c r="V144" i="15" s="1"/>
  <c r="W144" i="15" s="1"/>
  <c r="X144" i="15" s="1"/>
  <c r="Y144" i="15" s="1"/>
  <c r="Z144" i="15" s="1"/>
  <c r="C143" i="15"/>
  <c r="D143" i="15" s="1"/>
  <c r="E143" i="15" s="1"/>
  <c r="F143" i="15" s="1"/>
  <c r="G143" i="15" s="1"/>
  <c r="H143" i="15" s="1"/>
  <c r="I143" i="15" s="1"/>
  <c r="J143" i="15" s="1"/>
  <c r="K143" i="15" s="1"/>
  <c r="L143" i="15" s="1"/>
  <c r="M143" i="15" s="1"/>
  <c r="N143" i="15" s="1"/>
  <c r="O143" i="15" s="1"/>
  <c r="P143" i="15" s="1"/>
  <c r="Q143" i="15" s="1"/>
  <c r="R143" i="15" s="1"/>
  <c r="S143" i="15" s="1"/>
  <c r="T143" i="15" s="1"/>
  <c r="U143" i="15" s="1"/>
  <c r="V143" i="15" s="1"/>
  <c r="W143" i="15" s="1"/>
  <c r="X143" i="15" s="1"/>
  <c r="Y143" i="15" s="1"/>
  <c r="Z143" i="15" s="1"/>
  <c r="C142" i="15"/>
  <c r="D142" i="15" s="1"/>
  <c r="E142" i="15" s="1"/>
  <c r="F142" i="15" s="1"/>
  <c r="G142" i="15" s="1"/>
  <c r="H142" i="15" s="1"/>
  <c r="I142" i="15" s="1"/>
  <c r="J142" i="15" s="1"/>
  <c r="K142" i="15" s="1"/>
  <c r="L142" i="15" s="1"/>
  <c r="M142" i="15" s="1"/>
  <c r="N142" i="15" s="1"/>
  <c r="O142" i="15" s="1"/>
  <c r="P142" i="15" s="1"/>
  <c r="Q142" i="15" s="1"/>
  <c r="R142" i="15" s="1"/>
  <c r="S142" i="15" s="1"/>
  <c r="T142" i="15" s="1"/>
  <c r="U142" i="15" s="1"/>
  <c r="V142" i="15" s="1"/>
  <c r="W142" i="15" s="1"/>
  <c r="X142" i="15" s="1"/>
  <c r="Y142" i="15" s="1"/>
  <c r="Z142" i="15" s="1"/>
  <c r="C141" i="15"/>
  <c r="D141" i="15" s="1"/>
  <c r="E141" i="15" s="1"/>
  <c r="F141" i="15" s="1"/>
  <c r="G141" i="15" s="1"/>
  <c r="H141" i="15" s="1"/>
  <c r="I141" i="15" s="1"/>
  <c r="J141" i="15" s="1"/>
  <c r="K141" i="15" s="1"/>
  <c r="L141" i="15" s="1"/>
  <c r="M141" i="15" s="1"/>
  <c r="N141" i="15" s="1"/>
  <c r="O141" i="15" s="1"/>
  <c r="P141" i="15" s="1"/>
  <c r="Q141" i="15" s="1"/>
  <c r="R141" i="15" s="1"/>
  <c r="S141" i="15" s="1"/>
  <c r="T141" i="15" s="1"/>
  <c r="U141" i="15" s="1"/>
  <c r="V141" i="15" s="1"/>
  <c r="W141" i="15" s="1"/>
  <c r="X141" i="15" s="1"/>
  <c r="Y141" i="15" s="1"/>
  <c r="Z141" i="15" s="1"/>
  <c r="C140" i="15"/>
  <c r="D140" i="15" s="1"/>
  <c r="E140" i="15" s="1"/>
  <c r="F140" i="15" s="1"/>
  <c r="G140" i="15" s="1"/>
  <c r="H140" i="15" s="1"/>
  <c r="I140" i="15" s="1"/>
  <c r="J140" i="15" s="1"/>
  <c r="K140" i="15" s="1"/>
  <c r="L140" i="15" s="1"/>
  <c r="M140" i="15" s="1"/>
  <c r="N140" i="15" s="1"/>
  <c r="O140" i="15" s="1"/>
  <c r="P140" i="15" s="1"/>
  <c r="Q140" i="15" s="1"/>
  <c r="R140" i="15" s="1"/>
  <c r="S140" i="15" s="1"/>
  <c r="T140" i="15" s="1"/>
  <c r="U140" i="15" s="1"/>
  <c r="V140" i="15" s="1"/>
  <c r="W140" i="15" s="1"/>
  <c r="X140" i="15" s="1"/>
  <c r="Y140" i="15" s="1"/>
  <c r="Z140" i="15" s="1"/>
  <c r="C139" i="15"/>
  <c r="D139" i="15" s="1"/>
  <c r="E139" i="15" s="1"/>
  <c r="F139" i="15" s="1"/>
  <c r="G139" i="15" s="1"/>
  <c r="H139" i="15" s="1"/>
  <c r="I139" i="15" s="1"/>
  <c r="J139" i="15" s="1"/>
  <c r="K139" i="15" s="1"/>
  <c r="L139" i="15" s="1"/>
  <c r="M139" i="15" s="1"/>
  <c r="N139" i="15" s="1"/>
  <c r="O139" i="15" s="1"/>
  <c r="P139" i="15" s="1"/>
  <c r="Q139" i="15" s="1"/>
  <c r="R139" i="15" s="1"/>
  <c r="S139" i="15" s="1"/>
  <c r="T139" i="15" s="1"/>
  <c r="U139" i="15" s="1"/>
  <c r="V139" i="15" s="1"/>
  <c r="W139" i="15" s="1"/>
  <c r="X139" i="15" s="1"/>
  <c r="Y139" i="15" s="1"/>
  <c r="Z139" i="15" s="1"/>
  <c r="C138" i="15"/>
  <c r="D138" i="15" s="1"/>
  <c r="E138" i="15" s="1"/>
  <c r="F138" i="15" s="1"/>
  <c r="G138" i="15" s="1"/>
  <c r="H138" i="15" s="1"/>
  <c r="I138" i="15" s="1"/>
  <c r="J138" i="15" s="1"/>
  <c r="K138" i="15" s="1"/>
  <c r="L138" i="15" s="1"/>
  <c r="M138" i="15" s="1"/>
  <c r="N138" i="15" s="1"/>
  <c r="O138" i="15" s="1"/>
  <c r="P138" i="15" s="1"/>
  <c r="Q138" i="15" s="1"/>
  <c r="R138" i="15" s="1"/>
  <c r="S138" i="15" s="1"/>
  <c r="T138" i="15" s="1"/>
  <c r="U138" i="15" s="1"/>
  <c r="V138" i="15" s="1"/>
  <c r="W138" i="15" s="1"/>
  <c r="X138" i="15" s="1"/>
  <c r="Y138" i="15" s="1"/>
  <c r="Z138" i="15" s="1"/>
  <c r="C137" i="15"/>
  <c r="D137" i="15" s="1"/>
  <c r="E137" i="15" s="1"/>
  <c r="F137" i="15" s="1"/>
  <c r="G137" i="15" s="1"/>
  <c r="H137" i="15" s="1"/>
  <c r="I137" i="15" s="1"/>
  <c r="J137" i="15" s="1"/>
  <c r="K137" i="15" s="1"/>
  <c r="L137" i="15" s="1"/>
  <c r="M137" i="15" s="1"/>
  <c r="N137" i="15" s="1"/>
  <c r="O137" i="15" s="1"/>
  <c r="P137" i="15" s="1"/>
  <c r="Q137" i="15" s="1"/>
  <c r="R137" i="15" s="1"/>
  <c r="S137" i="15" s="1"/>
  <c r="T137" i="15" s="1"/>
  <c r="U137" i="15" s="1"/>
  <c r="V137" i="15" s="1"/>
  <c r="W137" i="15" s="1"/>
  <c r="X137" i="15" s="1"/>
  <c r="Y137" i="15" s="1"/>
  <c r="Z137" i="15" s="1"/>
  <c r="C136" i="15"/>
  <c r="D136" i="15" s="1"/>
  <c r="E136" i="15" s="1"/>
  <c r="F136" i="15" s="1"/>
  <c r="G136" i="15" s="1"/>
  <c r="H136" i="15" s="1"/>
  <c r="I136" i="15" s="1"/>
  <c r="J136" i="15" s="1"/>
  <c r="K136" i="15" s="1"/>
  <c r="L136" i="15" s="1"/>
  <c r="M136" i="15" s="1"/>
  <c r="N136" i="15" s="1"/>
  <c r="O136" i="15" s="1"/>
  <c r="P136" i="15" s="1"/>
  <c r="Q136" i="15" s="1"/>
  <c r="R136" i="15" s="1"/>
  <c r="S136" i="15" s="1"/>
  <c r="T136" i="15" s="1"/>
  <c r="U136" i="15" s="1"/>
  <c r="V136" i="15" s="1"/>
  <c r="W136" i="15" s="1"/>
  <c r="X136" i="15" s="1"/>
  <c r="Y136" i="15" s="1"/>
  <c r="Z136" i="15" s="1"/>
  <c r="C135" i="15"/>
  <c r="D135" i="15" s="1"/>
  <c r="E135" i="15" s="1"/>
  <c r="F135" i="15" s="1"/>
  <c r="G135" i="15" s="1"/>
  <c r="H135" i="15" s="1"/>
  <c r="I135" i="15" s="1"/>
  <c r="J135" i="15" s="1"/>
  <c r="K135" i="15" s="1"/>
  <c r="L135" i="15" s="1"/>
  <c r="M135" i="15" s="1"/>
  <c r="N135" i="15" s="1"/>
  <c r="O135" i="15" s="1"/>
  <c r="P135" i="15" s="1"/>
  <c r="Q135" i="15" s="1"/>
  <c r="R135" i="15" s="1"/>
  <c r="S135" i="15" s="1"/>
  <c r="T135" i="15" s="1"/>
  <c r="U135" i="15" s="1"/>
  <c r="V135" i="15" s="1"/>
  <c r="W135" i="15" s="1"/>
  <c r="X135" i="15" s="1"/>
  <c r="Y135" i="15" s="1"/>
  <c r="Z135" i="15" s="1"/>
  <c r="C134" i="15"/>
  <c r="D134" i="15" s="1"/>
  <c r="E134" i="15" s="1"/>
  <c r="F134" i="15" s="1"/>
  <c r="G134" i="15" s="1"/>
  <c r="H134" i="15" s="1"/>
  <c r="I134" i="15" s="1"/>
  <c r="J134" i="15" s="1"/>
  <c r="K134" i="15" s="1"/>
  <c r="L134" i="15" s="1"/>
  <c r="M134" i="15" s="1"/>
  <c r="N134" i="15" s="1"/>
  <c r="O134" i="15" s="1"/>
  <c r="P134" i="15" s="1"/>
  <c r="Q134" i="15" s="1"/>
  <c r="R134" i="15" s="1"/>
  <c r="S134" i="15" s="1"/>
  <c r="T134" i="15" s="1"/>
  <c r="U134" i="15" s="1"/>
  <c r="V134" i="15" s="1"/>
  <c r="W134" i="15" s="1"/>
  <c r="X134" i="15" s="1"/>
  <c r="Y134" i="15" s="1"/>
  <c r="Z134" i="15" s="1"/>
  <c r="C133" i="15"/>
  <c r="D133" i="15" s="1"/>
  <c r="E133" i="15" s="1"/>
  <c r="F133" i="15" s="1"/>
  <c r="G133" i="15" s="1"/>
  <c r="H133" i="15" s="1"/>
  <c r="I133" i="15" s="1"/>
  <c r="J133" i="15" s="1"/>
  <c r="K133" i="15" s="1"/>
  <c r="L133" i="15" s="1"/>
  <c r="M133" i="15" s="1"/>
  <c r="N133" i="15" s="1"/>
  <c r="O133" i="15" s="1"/>
  <c r="P133" i="15" s="1"/>
  <c r="Q133" i="15" s="1"/>
  <c r="R133" i="15" s="1"/>
  <c r="S133" i="15" s="1"/>
  <c r="T133" i="15" s="1"/>
  <c r="U133" i="15" s="1"/>
  <c r="V133" i="15" s="1"/>
  <c r="W133" i="15" s="1"/>
  <c r="X133" i="15" s="1"/>
  <c r="Y133" i="15" s="1"/>
  <c r="Z133" i="15" s="1"/>
  <c r="C132" i="15"/>
  <c r="D132" i="15" s="1"/>
  <c r="E132" i="15" s="1"/>
  <c r="F132" i="15" s="1"/>
  <c r="G132" i="15" s="1"/>
  <c r="H132" i="15" s="1"/>
  <c r="I132" i="15" s="1"/>
  <c r="J132" i="15" s="1"/>
  <c r="K132" i="15" s="1"/>
  <c r="L132" i="15" s="1"/>
  <c r="M132" i="15" s="1"/>
  <c r="N132" i="15" s="1"/>
  <c r="O132" i="15" s="1"/>
  <c r="P132" i="15" s="1"/>
  <c r="Q132" i="15" s="1"/>
  <c r="R132" i="15" s="1"/>
  <c r="S132" i="15" s="1"/>
  <c r="T132" i="15" s="1"/>
  <c r="U132" i="15" s="1"/>
  <c r="V132" i="15" s="1"/>
  <c r="W132" i="15" s="1"/>
  <c r="X132" i="15" s="1"/>
  <c r="Y132" i="15" s="1"/>
  <c r="Z132" i="15" s="1"/>
  <c r="C131" i="15"/>
  <c r="D131" i="15" s="1"/>
  <c r="E131" i="15" s="1"/>
  <c r="F131" i="15" s="1"/>
  <c r="G131" i="15" s="1"/>
  <c r="H131" i="15" s="1"/>
  <c r="I131" i="15" s="1"/>
  <c r="J131" i="15" s="1"/>
  <c r="K131" i="15" s="1"/>
  <c r="L131" i="15" s="1"/>
  <c r="M131" i="15" s="1"/>
  <c r="N131" i="15" s="1"/>
  <c r="O131" i="15" s="1"/>
  <c r="P131" i="15" s="1"/>
  <c r="Q131" i="15" s="1"/>
  <c r="R131" i="15" s="1"/>
  <c r="S131" i="15" s="1"/>
  <c r="T131" i="15" s="1"/>
  <c r="U131" i="15" s="1"/>
  <c r="V131" i="15" s="1"/>
  <c r="W131" i="15" s="1"/>
  <c r="X131" i="15" s="1"/>
  <c r="Y131" i="15" s="1"/>
  <c r="Z131" i="15" s="1"/>
  <c r="C130" i="15"/>
  <c r="D130" i="15" s="1"/>
  <c r="E130" i="15" s="1"/>
  <c r="F130" i="15" s="1"/>
  <c r="G130" i="15" s="1"/>
  <c r="H130" i="15" s="1"/>
  <c r="I130" i="15" s="1"/>
  <c r="J130" i="15" s="1"/>
  <c r="K130" i="15" s="1"/>
  <c r="L130" i="15" s="1"/>
  <c r="M130" i="15" s="1"/>
  <c r="N130" i="15" s="1"/>
  <c r="O130" i="15" s="1"/>
  <c r="P130" i="15" s="1"/>
  <c r="Q130" i="15" s="1"/>
  <c r="R130" i="15" s="1"/>
  <c r="S130" i="15" s="1"/>
  <c r="T130" i="15" s="1"/>
  <c r="U130" i="15" s="1"/>
  <c r="V130" i="15" s="1"/>
  <c r="W130" i="15" s="1"/>
  <c r="X130" i="15" s="1"/>
  <c r="Y130" i="15" s="1"/>
  <c r="Z130" i="15" s="1"/>
  <c r="C129" i="15"/>
  <c r="D129" i="15" s="1"/>
  <c r="E129" i="15" s="1"/>
  <c r="F129" i="15" s="1"/>
  <c r="G129" i="15" s="1"/>
  <c r="H129" i="15" s="1"/>
  <c r="I129" i="15" s="1"/>
  <c r="J129" i="15" s="1"/>
  <c r="K129" i="15" s="1"/>
  <c r="L129" i="15" s="1"/>
  <c r="M129" i="15" s="1"/>
  <c r="N129" i="15" s="1"/>
  <c r="O129" i="15" s="1"/>
  <c r="P129" i="15" s="1"/>
  <c r="Q129" i="15" s="1"/>
  <c r="R129" i="15" s="1"/>
  <c r="S129" i="15" s="1"/>
  <c r="T129" i="15" s="1"/>
  <c r="U129" i="15" s="1"/>
  <c r="V129" i="15" s="1"/>
  <c r="W129" i="15" s="1"/>
  <c r="X129" i="15" s="1"/>
  <c r="Y129" i="15" s="1"/>
  <c r="Z129" i="15" s="1"/>
  <c r="C128" i="15"/>
  <c r="D128" i="15" s="1"/>
  <c r="E128" i="15" s="1"/>
  <c r="F128" i="15" s="1"/>
  <c r="G128" i="15" s="1"/>
  <c r="H128" i="15" s="1"/>
  <c r="I128" i="15" s="1"/>
  <c r="J128" i="15" s="1"/>
  <c r="K128" i="15" s="1"/>
  <c r="L128" i="15" s="1"/>
  <c r="M128" i="15" s="1"/>
  <c r="N128" i="15" s="1"/>
  <c r="O128" i="15" s="1"/>
  <c r="P128" i="15" s="1"/>
  <c r="Q128" i="15" s="1"/>
  <c r="R128" i="15" s="1"/>
  <c r="S128" i="15" s="1"/>
  <c r="T128" i="15" s="1"/>
  <c r="U128" i="15" s="1"/>
  <c r="V128" i="15" s="1"/>
  <c r="W128" i="15" s="1"/>
  <c r="X128" i="15" s="1"/>
  <c r="Y128" i="15" s="1"/>
  <c r="Z128" i="15" s="1"/>
  <c r="C127" i="15"/>
  <c r="D127" i="15" s="1"/>
  <c r="E127" i="15" s="1"/>
  <c r="F127" i="15" s="1"/>
  <c r="G127" i="15" s="1"/>
  <c r="H127" i="15" s="1"/>
  <c r="I127" i="15" s="1"/>
  <c r="J127" i="15" s="1"/>
  <c r="K127" i="15" s="1"/>
  <c r="L127" i="15" s="1"/>
  <c r="M127" i="15" s="1"/>
  <c r="N127" i="15" s="1"/>
  <c r="O127" i="15" s="1"/>
  <c r="P127" i="15" s="1"/>
  <c r="Q127" i="15" s="1"/>
  <c r="R127" i="15" s="1"/>
  <c r="S127" i="15" s="1"/>
  <c r="T127" i="15" s="1"/>
  <c r="U127" i="15" s="1"/>
  <c r="V127" i="15" s="1"/>
  <c r="W127" i="15" s="1"/>
  <c r="X127" i="15" s="1"/>
  <c r="Y127" i="15" s="1"/>
  <c r="Z127" i="15" s="1"/>
  <c r="C126" i="15"/>
  <c r="D126" i="15" s="1"/>
  <c r="E126" i="15" s="1"/>
  <c r="F126" i="15" s="1"/>
  <c r="G126" i="15" s="1"/>
  <c r="H126" i="15" s="1"/>
  <c r="I126" i="15" s="1"/>
  <c r="J126" i="15" s="1"/>
  <c r="K126" i="15" s="1"/>
  <c r="L126" i="15" s="1"/>
  <c r="M126" i="15" s="1"/>
  <c r="N126" i="15" s="1"/>
  <c r="O126" i="15" s="1"/>
  <c r="P126" i="15" s="1"/>
  <c r="Q126" i="15" s="1"/>
  <c r="R126" i="15" s="1"/>
  <c r="S126" i="15" s="1"/>
  <c r="T126" i="15" s="1"/>
  <c r="U126" i="15" s="1"/>
  <c r="V126" i="15" s="1"/>
  <c r="W126" i="15" s="1"/>
  <c r="X126" i="15" s="1"/>
  <c r="Y126" i="15" s="1"/>
  <c r="Z126" i="15" s="1"/>
  <c r="C125" i="15"/>
  <c r="D125" i="15" s="1"/>
  <c r="E125" i="15" s="1"/>
  <c r="F125" i="15" s="1"/>
  <c r="G125" i="15" s="1"/>
  <c r="H125" i="15" s="1"/>
  <c r="I125" i="15" s="1"/>
  <c r="J125" i="15" s="1"/>
  <c r="K125" i="15" s="1"/>
  <c r="L125" i="15" s="1"/>
  <c r="M125" i="15" s="1"/>
  <c r="N125" i="15" s="1"/>
  <c r="O125" i="15" s="1"/>
  <c r="P125" i="15" s="1"/>
  <c r="Q125" i="15" s="1"/>
  <c r="R125" i="15" s="1"/>
  <c r="S125" i="15" s="1"/>
  <c r="T125" i="15" s="1"/>
  <c r="U125" i="15" s="1"/>
  <c r="V125" i="15" s="1"/>
  <c r="W125" i="15" s="1"/>
  <c r="X125" i="15" s="1"/>
  <c r="Y125" i="15" s="1"/>
  <c r="Z125" i="15" s="1"/>
  <c r="C124" i="15"/>
  <c r="D124" i="15" s="1"/>
  <c r="E124" i="15" s="1"/>
  <c r="F124" i="15" s="1"/>
  <c r="G124" i="15" s="1"/>
  <c r="H124" i="15" s="1"/>
  <c r="I124" i="15" s="1"/>
  <c r="J124" i="15" s="1"/>
  <c r="K124" i="15" s="1"/>
  <c r="L124" i="15" s="1"/>
  <c r="M124" i="15" s="1"/>
  <c r="N124" i="15" s="1"/>
  <c r="O124" i="15" s="1"/>
  <c r="P124" i="15" s="1"/>
  <c r="Q124" i="15" s="1"/>
  <c r="R124" i="15" s="1"/>
  <c r="S124" i="15" s="1"/>
  <c r="T124" i="15" s="1"/>
  <c r="U124" i="15" s="1"/>
  <c r="V124" i="15" s="1"/>
  <c r="W124" i="15" s="1"/>
  <c r="X124" i="15" s="1"/>
  <c r="Y124" i="15" s="1"/>
  <c r="Z124" i="15" s="1"/>
  <c r="C123" i="15"/>
  <c r="D123" i="15" s="1"/>
  <c r="E123" i="15" s="1"/>
  <c r="F123" i="15" s="1"/>
  <c r="G123" i="15" s="1"/>
  <c r="H123" i="15" s="1"/>
  <c r="I123" i="15" s="1"/>
  <c r="J123" i="15" s="1"/>
  <c r="K123" i="15" s="1"/>
  <c r="L123" i="15" s="1"/>
  <c r="M123" i="15" s="1"/>
  <c r="N123" i="15" s="1"/>
  <c r="O123" i="15" s="1"/>
  <c r="P123" i="15" s="1"/>
  <c r="Q123" i="15" s="1"/>
  <c r="R123" i="15" s="1"/>
  <c r="S123" i="15" s="1"/>
  <c r="T123" i="15" s="1"/>
  <c r="U123" i="15" s="1"/>
  <c r="V123" i="15" s="1"/>
  <c r="W123" i="15" s="1"/>
  <c r="X123" i="15" s="1"/>
  <c r="Y123" i="15" s="1"/>
  <c r="Z123" i="15" s="1"/>
  <c r="C122" i="15"/>
  <c r="D122" i="15" s="1"/>
  <c r="E122" i="15" s="1"/>
  <c r="F122" i="15" s="1"/>
  <c r="G122" i="15" s="1"/>
  <c r="H122" i="15" s="1"/>
  <c r="I122" i="15" s="1"/>
  <c r="J122" i="15" s="1"/>
  <c r="K122" i="15" s="1"/>
  <c r="L122" i="15" s="1"/>
  <c r="M122" i="15" s="1"/>
  <c r="N122" i="15" s="1"/>
  <c r="O122" i="15" s="1"/>
  <c r="P122" i="15" s="1"/>
  <c r="Q122" i="15" s="1"/>
  <c r="R122" i="15" s="1"/>
  <c r="S122" i="15" s="1"/>
  <c r="T122" i="15" s="1"/>
  <c r="U122" i="15" s="1"/>
  <c r="V122" i="15" s="1"/>
  <c r="W122" i="15" s="1"/>
  <c r="X122" i="15" s="1"/>
  <c r="Y122" i="15" s="1"/>
  <c r="Z122" i="15" s="1"/>
  <c r="C121" i="15"/>
  <c r="D121" i="15" s="1"/>
  <c r="E121" i="15" s="1"/>
  <c r="F121" i="15" s="1"/>
  <c r="G121" i="15" s="1"/>
  <c r="H121" i="15" s="1"/>
  <c r="I121" i="15" s="1"/>
  <c r="J121" i="15" s="1"/>
  <c r="K121" i="15" s="1"/>
  <c r="L121" i="15" s="1"/>
  <c r="M121" i="15" s="1"/>
  <c r="N121" i="15" s="1"/>
  <c r="O121" i="15" s="1"/>
  <c r="P121" i="15" s="1"/>
  <c r="Q121" i="15" s="1"/>
  <c r="R121" i="15" s="1"/>
  <c r="S121" i="15" s="1"/>
  <c r="T121" i="15" s="1"/>
  <c r="U121" i="15" s="1"/>
  <c r="V121" i="15" s="1"/>
  <c r="W121" i="15" s="1"/>
  <c r="X121" i="15" s="1"/>
  <c r="Y121" i="15" s="1"/>
  <c r="Z121" i="15" s="1"/>
  <c r="C120" i="15"/>
  <c r="D120" i="15" s="1"/>
  <c r="E120" i="15" s="1"/>
  <c r="F120" i="15" s="1"/>
  <c r="G120" i="15" s="1"/>
  <c r="H120" i="15" s="1"/>
  <c r="I120" i="15" s="1"/>
  <c r="J120" i="15" s="1"/>
  <c r="K120" i="15" s="1"/>
  <c r="L120" i="15" s="1"/>
  <c r="M120" i="15" s="1"/>
  <c r="N120" i="15" s="1"/>
  <c r="O120" i="15" s="1"/>
  <c r="P120" i="15" s="1"/>
  <c r="Q120" i="15" s="1"/>
  <c r="R120" i="15" s="1"/>
  <c r="S120" i="15" s="1"/>
  <c r="T120" i="15" s="1"/>
  <c r="U120" i="15" s="1"/>
  <c r="V120" i="15" s="1"/>
  <c r="W120" i="15" s="1"/>
  <c r="X120" i="15" s="1"/>
  <c r="Y120" i="15" s="1"/>
  <c r="Z120" i="15" s="1"/>
  <c r="C119" i="15"/>
  <c r="D119" i="15" s="1"/>
  <c r="E119" i="15" s="1"/>
  <c r="F119" i="15" s="1"/>
  <c r="G119" i="15" s="1"/>
  <c r="H119" i="15" s="1"/>
  <c r="I119" i="15" s="1"/>
  <c r="J119" i="15" s="1"/>
  <c r="K119" i="15" s="1"/>
  <c r="L119" i="15" s="1"/>
  <c r="M119" i="15" s="1"/>
  <c r="N119" i="15" s="1"/>
  <c r="O119" i="15" s="1"/>
  <c r="P119" i="15" s="1"/>
  <c r="Q119" i="15" s="1"/>
  <c r="R119" i="15" s="1"/>
  <c r="S119" i="15" s="1"/>
  <c r="T119" i="15" s="1"/>
  <c r="U119" i="15" s="1"/>
  <c r="V119" i="15" s="1"/>
  <c r="W119" i="15" s="1"/>
  <c r="X119" i="15" s="1"/>
  <c r="Y119" i="15" s="1"/>
  <c r="Z119" i="15" s="1"/>
  <c r="C118" i="15"/>
  <c r="D118" i="15" s="1"/>
  <c r="E118" i="15" s="1"/>
  <c r="F118" i="15" s="1"/>
  <c r="G118" i="15" s="1"/>
  <c r="H118" i="15" s="1"/>
  <c r="I118" i="15" s="1"/>
  <c r="J118" i="15" s="1"/>
  <c r="K118" i="15" s="1"/>
  <c r="L118" i="15" s="1"/>
  <c r="M118" i="15" s="1"/>
  <c r="N118" i="15" s="1"/>
  <c r="O118" i="15" s="1"/>
  <c r="P118" i="15" s="1"/>
  <c r="Q118" i="15" s="1"/>
  <c r="R118" i="15" s="1"/>
  <c r="S118" i="15" s="1"/>
  <c r="T118" i="15" s="1"/>
  <c r="U118" i="15" s="1"/>
  <c r="V118" i="15" s="1"/>
  <c r="W118" i="15" s="1"/>
  <c r="X118" i="15" s="1"/>
  <c r="Y118" i="15" s="1"/>
  <c r="Z118" i="15" s="1"/>
  <c r="C117" i="15"/>
  <c r="D117" i="15" s="1"/>
  <c r="E117" i="15" s="1"/>
  <c r="F117" i="15" s="1"/>
  <c r="G117" i="15" s="1"/>
  <c r="H117" i="15" s="1"/>
  <c r="I117" i="15" s="1"/>
  <c r="J117" i="15" s="1"/>
  <c r="K117" i="15" s="1"/>
  <c r="L117" i="15" s="1"/>
  <c r="M117" i="15" s="1"/>
  <c r="N117" i="15" s="1"/>
  <c r="O117" i="15" s="1"/>
  <c r="P117" i="15" s="1"/>
  <c r="Q117" i="15" s="1"/>
  <c r="R117" i="15" s="1"/>
  <c r="S117" i="15" s="1"/>
  <c r="T117" i="15" s="1"/>
  <c r="U117" i="15" s="1"/>
  <c r="V117" i="15" s="1"/>
  <c r="W117" i="15" s="1"/>
  <c r="X117" i="15" s="1"/>
  <c r="Y117" i="15" s="1"/>
  <c r="Z117" i="15" s="1"/>
  <c r="C116" i="15"/>
  <c r="D116" i="15" s="1"/>
  <c r="E116" i="15" s="1"/>
  <c r="F116" i="15" s="1"/>
  <c r="G116" i="15" s="1"/>
  <c r="H116" i="15" s="1"/>
  <c r="I116" i="15" s="1"/>
  <c r="J116" i="15" s="1"/>
  <c r="K116" i="15" s="1"/>
  <c r="L116" i="15" s="1"/>
  <c r="M116" i="15" s="1"/>
  <c r="N116" i="15" s="1"/>
  <c r="O116" i="15" s="1"/>
  <c r="P116" i="15" s="1"/>
  <c r="Q116" i="15" s="1"/>
  <c r="R116" i="15" s="1"/>
  <c r="S116" i="15" s="1"/>
  <c r="T116" i="15" s="1"/>
  <c r="U116" i="15" s="1"/>
  <c r="V116" i="15" s="1"/>
  <c r="W116" i="15" s="1"/>
  <c r="X116" i="15" s="1"/>
  <c r="Y116" i="15" s="1"/>
  <c r="Z116" i="15" s="1"/>
  <c r="C115" i="15"/>
  <c r="D115" i="15" s="1"/>
  <c r="E115" i="15" s="1"/>
  <c r="F115" i="15" s="1"/>
  <c r="G115" i="15" s="1"/>
  <c r="H115" i="15" s="1"/>
  <c r="I115" i="15" s="1"/>
  <c r="J115" i="15" s="1"/>
  <c r="K115" i="15" s="1"/>
  <c r="L115" i="15" s="1"/>
  <c r="M115" i="15" s="1"/>
  <c r="N115" i="15" s="1"/>
  <c r="O115" i="15" s="1"/>
  <c r="P115" i="15" s="1"/>
  <c r="Q115" i="15" s="1"/>
  <c r="R115" i="15" s="1"/>
  <c r="S115" i="15" s="1"/>
  <c r="T115" i="15" s="1"/>
  <c r="U115" i="15" s="1"/>
  <c r="V115" i="15" s="1"/>
  <c r="W115" i="15" s="1"/>
  <c r="X115" i="15" s="1"/>
  <c r="Y115" i="15" s="1"/>
  <c r="Z115" i="15" s="1"/>
  <c r="C114" i="15"/>
  <c r="D114" i="15" s="1"/>
  <c r="E114" i="15" s="1"/>
  <c r="F114" i="15" s="1"/>
  <c r="G114" i="15" s="1"/>
  <c r="H114" i="15" s="1"/>
  <c r="I114" i="15" s="1"/>
  <c r="J114" i="15" s="1"/>
  <c r="K114" i="15" s="1"/>
  <c r="L114" i="15" s="1"/>
  <c r="M114" i="15" s="1"/>
  <c r="N114" i="15" s="1"/>
  <c r="O114" i="15" s="1"/>
  <c r="P114" i="15" s="1"/>
  <c r="Q114" i="15" s="1"/>
  <c r="R114" i="15" s="1"/>
  <c r="S114" i="15" s="1"/>
  <c r="T114" i="15" s="1"/>
  <c r="U114" i="15" s="1"/>
  <c r="V114" i="15" s="1"/>
  <c r="W114" i="15" s="1"/>
  <c r="X114" i="15" s="1"/>
  <c r="Y114" i="15" s="1"/>
  <c r="Z114" i="15" s="1"/>
  <c r="C113" i="15"/>
  <c r="D113" i="15" s="1"/>
  <c r="E113" i="15" s="1"/>
  <c r="F113" i="15" s="1"/>
  <c r="G113" i="15" s="1"/>
  <c r="H113" i="15" s="1"/>
  <c r="I113" i="15" s="1"/>
  <c r="J113" i="15" s="1"/>
  <c r="K113" i="15" s="1"/>
  <c r="L113" i="15" s="1"/>
  <c r="M113" i="15" s="1"/>
  <c r="N113" i="15" s="1"/>
  <c r="O113" i="15" s="1"/>
  <c r="P113" i="15" s="1"/>
  <c r="Q113" i="15" s="1"/>
  <c r="R113" i="15" s="1"/>
  <c r="S113" i="15" s="1"/>
  <c r="T113" i="15" s="1"/>
  <c r="U113" i="15" s="1"/>
  <c r="V113" i="15" s="1"/>
  <c r="W113" i="15" s="1"/>
  <c r="X113" i="15" s="1"/>
  <c r="Y113" i="15" s="1"/>
  <c r="Z113" i="15" s="1"/>
  <c r="C112" i="15"/>
  <c r="D112" i="15" s="1"/>
  <c r="E112" i="15" s="1"/>
  <c r="F112" i="15" s="1"/>
  <c r="G112" i="15" s="1"/>
  <c r="H112" i="15" s="1"/>
  <c r="I112" i="15" s="1"/>
  <c r="J112" i="15" s="1"/>
  <c r="K112" i="15" s="1"/>
  <c r="L112" i="15" s="1"/>
  <c r="M112" i="15" s="1"/>
  <c r="N112" i="15" s="1"/>
  <c r="O112" i="15" s="1"/>
  <c r="P112" i="15" s="1"/>
  <c r="Q112" i="15" s="1"/>
  <c r="R112" i="15" s="1"/>
  <c r="S112" i="15" s="1"/>
  <c r="T112" i="15" s="1"/>
  <c r="U112" i="15" s="1"/>
  <c r="V112" i="15" s="1"/>
  <c r="W112" i="15" s="1"/>
  <c r="X112" i="15" s="1"/>
  <c r="Y112" i="15" s="1"/>
  <c r="Z112" i="15" s="1"/>
  <c r="C111" i="15"/>
  <c r="D111" i="15" s="1"/>
  <c r="E111" i="15" s="1"/>
  <c r="F111" i="15" s="1"/>
  <c r="G111" i="15" s="1"/>
  <c r="H111" i="15" s="1"/>
  <c r="I111" i="15" s="1"/>
  <c r="J111" i="15" s="1"/>
  <c r="K111" i="15" s="1"/>
  <c r="L111" i="15" s="1"/>
  <c r="M111" i="15" s="1"/>
  <c r="N111" i="15" s="1"/>
  <c r="O111" i="15" s="1"/>
  <c r="P111" i="15" s="1"/>
  <c r="Q111" i="15" s="1"/>
  <c r="R111" i="15" s="1"/>
  <c r="S111" i="15" s="1"/>
  <c r="T111" i="15" s="1"/>
  <c r="U111" i="15" s="1"/>
  <c r="V111" i="15" s="1"/>
  <c r="W111" i="15" s="1"/>
  <c r="X111" i="15" s="1"/>
  <c r="Y111" i="15" s="1"/>
  <c r="Z111" i="15" s="1"/>
  <c r="C110" i="15"/>
  <c r="D110" i="15" s="1"/>
  <c r="E110" i="15" s="1"/>
  <c r="F110" i="15" s="1"/>
  <c r="G110" i="15" s="1"/>
  <c r="H110" i="15" s="1"/>
  <c r="I110" i="15" s="1"/>
  <c r="J110" i="15" s="1"/>
  <c r="K110" i="15" s="1"/>
  <c r="L110" i="15" s="1"/>
  <c r="M110" i="15" s="1"/>
  <c r="N110" i="15" s="1"/>
  <c r="O110" i="15" s="1"/>
  <c r="P110" i="15" s="1"/>
  <c r="Q110" i="15" s="1"/>
  <c r="R110" i="15" s="1"/>
  <c r="S110" i="15" s="1"/>
  <c r="T110" i="15" s="1"/>
  <c r="U110" i="15" s="1"/>
  <c r="V110" i="15" s="1"/>
  <c r="W110" i="15" s="1"/>
  <c r="X110" i="15" s="1"/>
  <c r="Y110" i="15" s="1"/>
  <c r="Z110" i="15" s="1"/>
  <c r="C109" i="15"/>
  <c r="D109" i="15" s="1"/>
  <c r="E109" i="15" s="1"/>
  <c r="F109" i="15" s="1"/>
  <c r="G109" i="15" s="1"/>
  <c r="H109" i="15" s="1"/>
  <c r="I109" i="15" s="1"/>
  <c r="J109" i="15" s="1"/>
  <c r="K109" i="15" s="1"/>
  <c r="L109" i="15" s="1"/>
  <c r="M109" i="15" s="1"/>
  <c r="N109" i="15" s="1"/>
  <c r="O109" i="15" s="1"/>
  <c r="P109" i="15" s="1"/>
  <c r="Q109" i="15" s="1"/>
  <c r="R109" i="15" s="1"/>
  <c r="S109" i="15" s="1"/>
  <c r="T109" i="15" s="1"/>
  <c r="U109" i="15" s="1"/>
  <c r="V109" i="15" s="1"/>
  <c r="W109" i="15" s="1"/>
  <c r="X109" i="15" s="1"/>
  <c r="Y109" i="15" s="1"/>
  <c r="Z109" i="15" s="1"/>
  <c r="C108" i="15"/>
  <c r="D108" i="15" s="1"/>
  <c r="E108" i="15" s="1"/>
  <c r="F108" i="15" s="1"/>
  <c r="G108" i="15" s="1"/>
  <c r="H108" i="15" s="1"/>
  <c r="I108" i="15" s="1"/>
  <c r="J108" i="15" s="1"/>
  <c r="K108" i="15" s="1"/>
  <c r="L108" i="15" s="1"/>
  <c r="M108" i="15" s="1"/>
  <c r="N108" i="15" s="1"/>
  <c r="O108" i="15" s="1"/>
  <c r="P108" i="15" s="1"/>
  <c r="Q108" i="15" s="1"/>
  <c r="R108" i="15" s="1"/>
  <c r="S108" i="15" s="1"/>
  <c r="T108" i="15" s="1"/>
  <c r="U108" i="15" s="1"/>
  <c r="V108" i="15" s="1"/>
  <c r="W108" i="15" s="1"/>
  <c r="X108" i="15" s="1"/>
  <c r="Y108" i="15" s="1"/>
  <c r="Z108" i="15" s="1"/>
  <c r="C107" i="15"/>
  <c r="D107" i="15" s="1"/>
  <c r="E107" i="15" s="1"/>
  <c r="F107" i="15" s="1"/>
  <c r="G107" i="15" s="1"/>
  <c r="H107" i="15" s="1"/>
  <c r="I107" i="15" s="1"/>
  <c r="J107" i="15" s="1"/>
  <c r="K107" i="15" s="1"/>
  <c r="L107" i="15" s="1"/>
  <c r="M107" i="15" s="1"/>
  <c r="N107" i="15" s="1"/>
  <c r="O107" i="15" s="1"/>
  <c r="P107" i="15" s="1"/>
  <c r="Q107" i="15" s="1"/>
  <c r="R107" i="15" s="1"/>
  <c r="S107" i="15" s="1"/>
  <c r="T107" i="15" s="1"/>
  <c r="U107" i="15" s="1"/>
  <c r="V107" i="15" s="1"/>
  <c r="W107" i="15" s="1"/>
  <c r="X107" i="15" s="1"/>
  <c r="Y107" i="15" s="1"/>
  <c r="Z107" i="15" s="1"/>
  <c r="C106" i="15"/>
  <c r="D106" i="15" s="1"/>
  <c r="E106" i="15" s="1"/>
  <c r="F106" i="15" s="1"/>
  <c r="G106" i="15" s="1"/>
  <c r="H106" i="15" s="1"/>
  <c r="I106" i="15" s="1"/>
  <c r="J106" i="15" s="1"/>
  <c r="K106" i="15" s="1"/>
  <c r="L106" i="15" s="1"/>
  <c r="M106" i="15" s="1"/>
  <c r="N106" i="15" s="1"/>
  <c r="O106" i="15" s="1"/>
  <c r="P106" i="15" s="1"/>
  <c r="Q106" i="15" s="1"/>
  <c r="R106" i="15" s="1"/>
  <c r="S106" i="15" s="1"/>
  <c r="T106" i="15" s="1"/>
  <c r="U106" i="15" s="1"/>
  <c r="V106" i="15" s="1"/>
  <c r="W106" i="15" s="1"/>
  <c r="X106" i="15" s="1"/>
  <c r="Y106" i="15" s="1"/>
  <c r="Z106" i="15" s="1"/>
  <c r="C105" i="15"/>
  <c r="D105" i="15" s="1"/>
  <c r="E105" i="15" s="1"/>
  <c r="F105" i="15" s="1"/>
  <c r="G105" i="15" s="1"/>
  <c r="H105" i="15" s="1"/>
  <c r="I105" i="15" s="1"/>
  <c r="J105" i="15" s="1"/>
  <c r="K105" i="15" s="1"/>
  <c r="L105" i="15" s="1"/>
  <c r="M105" i="15" s="1"/>
  <c r="N105" i="15" s="1"/>
  <c r="O105" i="15" s="1"/>
  <c r="P105" i="15" s="1"/>
  <c r="Q105" i="15" s="1"/>
  <c r="R105" i="15" s="1"/>
  <c r="S105" i="15" s="1"/>
  <c r="T105" i="15" s="1"/>
  <c r="U105" i="15" s="1"/>
  <c r="V105" i="15" s="1"/>
  <c r="W105" i="15" s="1"/>
  <c r="X105" i="15" s="1"/>
  <c r="Y105" i="15" s="1"/>
  <c r="Z105" i="15" s="1"/>
  <c r="C104" i="15"/>
  <c r="D104" i="15" s="1"/>
  <c r="E104" i="15" s="1"/>
  <c r="F104" i="15" s="1"/>
  <c r="G104" i="15" s="1"/>
  <c r="H104" i="15" s="1"/>
  <c r="I104" i="15" s="1"/>
  <c r="J104" i="15" s="1"/>
  <c r="K104" i="15" s="1"/>
  <c r="L104" i="15" s="1"/>
  <c r="M104" i="15" s="1"/>
  <c r="N104" i="15" s="1"/>
  <c r="O104" i="15" s="1"/>
  <c r="P104" i="15" s="1"/>
  <c r="Q104" i="15" s="1"/>
  <c r="R104" i="15" s="1"/>
  <c r="S104" i="15" s="1"/>
  <c r="T104" i="15" s="1"/>
  <c r="U104" i="15" s="1"/>
  <c r="V104" i="15" s="1"/>
  <c r="W104" i="15" s="1"/>
  <c r="X104" i="15" s="1"/>
  <c r="Y104" i="15" s="1"/>
  <c r="Z104" i="15" s="1"/>
  <c r="C103" i="15"/>
  <c r="D103" i="15" s="1"/>
  <c r="E103" i="15" s="1"/>
  <c r="F103" i="15" s="1"/>
  <c r="G103" i="15" s="1"/>
  <c r="H103" i="15" s="1"/>
  <c r="I103" i="15" s="1"/>
  <c r="J103" i="15" s="1"/>
  <c r="K103" i="15" s="1"/>
  <c r="L103" i="15" s="1"/>
  <c r="M103" i="15" s="1"/>
  <c r="N103" i="15" s="1"/>
  <c r="O103" i="15" s="1"/>
  <c r="P103" i="15" s="1"/>
  <c r="Q103" i="15" s="1"/>
  <c r="R103" i="15" s="1"/>
  <c r="S103" i="15" s="1"/>
  <c r="T103" i="15" s="1"/>
  <c r="U103" i="15" s="1"/>
  <c r="V103" i="15" s="1"/>
  <c r="W103" i="15" s="1"/>
  <c r="X103" i="15" s="1"/>
  <c r="Y103" i="15" s="1"/>
  <c r="Z103" i="15" s="1"/>
  <c r="C102" i="15"/>
  <c r="D102" i="15" s="1"/>
  <c r="E102" i="15" s="1"/>
  <c r="F102" i="15" s="1"/>
  <c r="G102" i="15" s="1"/>
  <c r="H102" i="15" s="1"/>
  <c r="I102" i="15" s="1"/>
  <c r="J102" i="15" s="1"/>
  <c r="K102" i="15" s="1"/>
  <c r="L102" i="15" s="1"/>
  <c r="M102" i="15" s="1"/>
  <c r="N102" i="15" s="1"/>
  <c r="O102" i="15" s="1"/>
  <c r="P102" i="15" s="1"/>
  <c r="Q102" i="15" s="1"/>
  <c r="R102" i="15" s="1"/>
  <c r="S102" i="15" s="1"/>
  <c r="T102" i="15" s="1"/>
  <c r="U102" i="15" s="1"/>
  <c r="V102" i="15" s="1"/>
  <c r="W102" i="15" s="1"/>
  <c r="X102" i="15" s="1"/>
  <c r="Y102" i="15" s="1"/>
  <c r="Z102" i="15" s="1"/>
  <c r="C101" i="15"/>
  <c r="D101" i="15" s="1"/>
  <c r="E101" i="15" s="1"/>
  <c r="F101" i="15" s="1"/>
  <c r="G101" i="15" s="1"/>
  <c r="H101" i="15" s="1"/>
  <c r="I101" i="15" s="1"/>
  <c r="J101" i="15" s="1"/>
  <c r="K101" i="15" s="1"/>
  <c r="L101" i="15" s="1"/>
  <c r="M101" i="15" s="1"/>
  <c r="N101" i="15" s="1"/>
  <c r="O101" i="15" s="1"/>
  <c r="P101" i="15" s="1"/>
  <c r="Q101" i="15" s="1"/>
  <c r="R101" i="15" s="1"/>
  <c r="S101" i="15" s="1"/>
  <c r="T101" i="15" s="1"/>
  <c r="U101" i="15" s="1"/>
  <c r="V101" i="15" s="1"/>
  <c r="W101" i="15" s="1"/>
  <c r="X101" i="15" s="1"/>
  <c r="Y101" i="15" s="1"/>
  <c r="Z101" i="15" s="1"/>
  <c r="C100" i="15"/>
  <c r="D100" i="15" s="1"/>
  <c r="E100" i="15" s="1"/>
  <c r="F100" i="15" s="1"/>
  <c r="G100" i="15" s="1"/>
  <c r="H100" i="15" s="1"/>
  <c r="I100" i="15" s="1"/>
  <c r="J100" i="15" s="1"/>
  <c r="K100" i="15" s="1"/>
  <c r="L100" i="15" s="1"/>
  <c r="M100" i="15" s="1"/>
  <c r="N100" i="15" s="1"/>
  <c r="O100" i="15" s="1"/>
  <c r="P100" i="15" s="1"/>
  <c r="Q100" i="15" s="1"/>
  <c r="R100" i="15" s="1"/>
  <c r="S100" i="15" s="1"/>
  <c r="T100" i="15" s="1"/>
  <c r="U100" i="15" s="1"/>
  <c r="V100" i="15" s="1"/>
  <c r="W100" i="15" s="1"/>
  <c r="X100" i="15" s="1"/>
  <c r="Y100" i="15" s="1"/>
  <c r="Z100" i="15" s="1"/>
  <c r="C99" i="15"/>
  <c r="D99" i="15" s="1"/>
  <c r="E99" i="15" s="1"/>
  <c r="F99" i="15" s="1"/>
  <c r="G99" i="15" s="1"/>
  <c r="H99" i="15" s="1"/>
  <c r="I99" i="15" s="1"/>
  <c r="J99" i="15" s="1"/>
  <c r="K99" i="15" s="1"/>
  <c r="L99" i="15" s="1"/>
  <c r="M99" i="15" s="1"/>
  <c r="N99" i="15" s="1"/>
  <c r="O99" i="15" s="1"/>
  <c r="P99" i="15" s="1"/>
  <c r="Q99" i="15" s="1"/>
  <c r="R99" i="15" s="1"/>
  <c r="S99" i="15" s="1"/>
  <c r="T99" i="15" s="1"/>
  <c r="U99" i="15" s="1"/>
  <c r="V99" i="15" s="1"/>
  <c r="W99" i="15" s="1"/>
  <c r="X99" i="15" s="1"/>
  <c r="Y99" i="15" s="1"/>
  <c r="Z99" i="15" s="1"/>
  <c r="C98" i="15"/>
  <c r="D98" i="15" s="1"/>
  <c r="E98" i="15" s="1"/>
  <c r="F98" i="15" s="1"/>
  <c r="G98" i="15" s="1"/>
  <c r="H98" i="15" s="1"/>
  <c r="I98" i="15" s="1"/>
  <c r="J98" i="15" s="1"/>
  <c r="K98" i="15" s="1"/>
  <c r="L98" i="15" s="1"/>
  <c r="M98" i="15" s="1"/>
  <c r="N98" i="15" s="1"/>
  <c r="O98" i="15" s="1"/>
  <c r="P98" i="15" s="1"/>
  <c r="Q98" i="15" s="1"/>
  <c r="R98" i="15" s="1"/>
  <c r="S98" i="15" s="1"/>
  <c r="T98" i="15" s="1"/>
  <c r="U98" i="15" s="1"/>
  <c r="V98" i="15" s="1"/>
  <c r="W98" i="15" s="1"/>
  <c r="X98" i="15" s="1"/>
  <c r="Y98" i="15" s="1"/>
  <c r="Z98" i="15" s="1"/>
  <c r="C97" i="15"/>
  <c r="D97" i="15" s="1"/>
  <c r="E97" i="15" s="1"/>
  <c r="F97" i="15" s="1"/>
  <c r="G97" i="15" s="1"/>
  <c r="H97" i="15" s="1"/>
  <c r="I97" i="15" s="1"/>
  <c r="J97" i="15" s="1"/>
  <c r="K97" i="15" s="1"/>
  <c r="L97" i="15" s="1"/>
  <c r="M97" i="15" s="1"/>
  <c r="N97" i="15" s="1"/>
  <c r="O97" i="15" s="1"/>
  <c r="P97" i="15" s="1"/>
  <c r="Q97" i="15" s="1"/>
  <c r="R97" i="15" s="1"/>
  <c r="S97" i="15" s="1"/>
  <c r="T97" i="15" s="1"/>
  <c r="U97" i="15" s="1"/>
  <c r="V97" i="15" s="1"/>
  <c r="W97" i="15" s="1"/>
  <c r="X97" i="15" s="1"/>
  <c r="Y97" i="15" s="1"/>
  <c r="Z97" i="15" s="1"/>
  <c r="C96" i="15"/>
  <c r="D96" i="15" s="1"/>
  <c r="E96" i="15" s="1"/>
  <c r="F96" i="15" s="1"/>
  <c r="G96" i="15" s="1"/>
  <c r="H96" i="15" s="1"/>
  <c r="I96" i="15" s="1"/>
  <c r="J96" i="15" s="1"/>
  <c r="K96" i="15" s="1"/>
  <c r="L96" i="15" s="1"/>
  <c r="M96" i="15" s="1"/>
  <c r="N96" i="15" s="1"/>
  <c r="O96" i="15" s="1"/>
  <c r="P96" i="15" s="1"/>
  <c r="Q96" i="15" s="1"/>
  <c r="R96" i="15" s="1"/>
  <c r="S96" i="15" s="1"/>
  <c r="T96" i="15" s="1"/>
  <c r="U96" i="15" s="1"/>
  <c r="V96" i="15" s="1"/>
  <c r="W96" i="15" s="1"/>
  <c r="X96" i="15" s="1"/>
  <c r="Y96" i="15" s="1"/>
  <c r="Z96" i="15" s="1"/>
  <c r="C95" i="15"/>
  <c r="D95" i="15" s="1"/>
  <c r="E95" i="15" s="1"/>
  <c r="F95" i="15" s="1"/>
  <c r="G95" i="15" s="1"/>
  <c r="H95" i="15" s="1"/>
  <c r="I95" i="15" s="1"/>
  <c r="J95" i="15" s="1"/>
  <c r="K95" i="15" s="1"/>
  <c r="L95" i="15" s="1"/>
  <c r="M95" i="15" s="1"/>
  <c r="N95" i="15" s="1"/>
  <c r="O95" i="15" s="1"/>
  <c r="P95" i="15" s="1"/>
  <c r="Q95" i="15" s="1"/>
  <c r="R95" i="15" s="1"/>
  <c r="S95" i="15" s="1"/>
  <c r="T95" i="15" s="1"/>
  <c r="U95" i="15" s="1"/>
  <c r="V95" i="15" s="1"/>
  <c r="W95" i="15" s="1"/>
  <c r="X95" i="15" s="1"/>
  <c r="Y95" i="15" s="1"/>
  <c r="Z95" i="15" s="1"/>
  <c r="C94" i="15"/>
  <c r="D94" i="15" s="1"/>
  <c r="E94" i="15" s="1"/>
  <c r="F94" i="15" s="1"/>
  <c r="G94" i="15" s="1"/>
  <c r="H94" i="15" s="1"/>
  <c r="I94" i="15" s="1"/>
  <c r="J94" i="15" s="1"/>
  <c r="K94" i="15" s="1"/>
  <c r="L94" i="15" s="1"/>
  <c r="M94" i="15" s="1"/>
  <c r="N94" i="15" s="1"/>
  <c r="O94" i="15" s="1"/>
  <c r="P94" i="15" s="1"/>
  <c r="Q94" i="15" s="1"/>
  <c r="R94" i="15" s="1"/>
  <c r="S94" i="15" s="1"/>
  <c r="T94" i="15" s="1"/>
  <c r="U94" i="15" s="1"/>
  <c r="V94" i="15" s="1"/>
  <c r="W94" i="15" s="1"/>
  <c r="X94" i="15" s="1"/>
  <c r="Y94" i="15" s="1"/>
  <c r="Z94" i="15" s="1"/>
  <c r="C93" i="15"/>
  <c r="D93" i="15" s="1"/>
  <c r="E93" i="15" s="1"/>
  <c r="F93" i="15" s="1"/>
  <c r="G93" i="15" s="1"/>
  <c r="H93" i="15" s="1"/>
  <c r="I93" i="15" s="1"/>
  <c r="J93" i="15" s="1"/>
  <c r="K93" i="15" s="1"/>
  <c r="L93" i="15" s="1"/>
  <c r="M93" i="15" s="1"/>
  <c r="N93" i="15" s="1"/>
  <c r="O93" i="15" s="1"/>
  <c r="P93" i="15" s="1"/>
  <c r="Q93" i="15" s="1"/>
  <c r="R93" i="15" s="1"/>
  <c r="S93" i="15" s="1"/>
  <c r="T93" i="15" s="1"/>
  <c r="U93" i="15" s="1"/>
  <c r="V93" i="15" s="1"/>
  <c r="W93" i="15" s="1"/>
  <c r="X93" i="15" s="1"/>
  <c r="Y93" i="15" s="1"/>
  <c r="Z93" i="15" s="1"/>
  <c r="C92" i="15"/>
  <c r="D92" i="15" s="1"/>
  <c r="E92" i="15" s="1"/>
  <c r="F92" i="15" s="1"/>
  <c r="G92" i="15" s="1"/>
  <c r="H92" i="15" s="1"/>
  <c r="I92" i="15" s="1"/>
  <c r="J92" i="15" s="1"/>
  <c r="K92" i="15" s="1"/>
  <c r="L92" i="15" s="1"/>
  <c r="M92" i="15" s="1"/>
  <c r="N92" i="15" s="1"/>
  <c r="O92" i="15" s="1"/>
  <c r="P92" i="15" s="1"/>
  <c r="Q92" i="15" s="1"/>
  <c r="R92" i="15" s="1"/>
  <c r="S92" i="15" s="1"/>
  <c r="T92" i="15" s="1"/>
  <c r="U92" i="15" s="1"/>
  <c r="V92" i="15" s="1"/>
  <c r="W92" i="15" s="1"/>
  <c r="X92" i="15" s="1"/>
  <c r="Y92" i="15" s="1"/>
  <c r="Z92" i="15" s="1"/>
  <c r="C91" i="15"/>
  <c r="D91" i="15" s="1"/>
  <c r="E91" i="15" s="1"/>
  <c r="F91" i="15" s="1"/>
  <c r="G91" i="15" s="1"/>
  <c r="H91" i="15" s="1"/>
  <c r="I91" i="15" s="1"/>
  <c r="J91" i="15" s="1"/>
  <c r="K91" i="15" s="1"/>
  <c r="L91" i="15" s="1"/>
  <c r="M91" i="15" s="1"/>
  <c r="N91" i="15" s="1"/>
  <c r="O91" i="15" s="1"/>
  <c r="P91" i="15" s="1"/>
  <c r="Q91" i="15" s="1"/>
  <c r="R91" i="15" s="1"/>
  <c r="S91" i="15" s="1"/>
  <c r="T91" i="15" s="1"/>
  <c r="U91" i="15" s="1"/>
  <c r="V91" i="15" s="1"/>
  <c r="W91" i="15" s="1"/>
  <c r="X91" i="15" s="1"/>
  <c r="Y91" i="15" s="1"/>
  <c r="Z91" i="15" s="1"/>
  <c r="C90" i="15"/>
  <c r="D90" i="15" s="1"/>
  <c r="E90" i="15" s="1"/>
  <c r="F90" i="15" s="1"/>
  <c r="G90" i="15" s="1"/>
  <c r="H90" i="15" s="1"/>
  <c r="I90" i="15" s="1"/>
  <c r="J90" i="15" s="1"/>
  <c r="K90" i="15" s="1"/>
  <c r="L90" i="15" s="1"/>
  <c r="M90" i="15" s="1"/>
  <c r="N90" i="15" s="1"/>
  <c r="O90" i="15" s="1"/>
  <c r="P90" i="15" s="1"/>
  <c r="Q90" i="15" s="1"/>
  <c r="R90" i="15" s="1"/>
  <c r="S90" i="15" s="1"/>
  <c r="T90" i="15" s="1"/>
  <c r="U90" i="15" s="1"/>
  <c r="V90" i="15" s="1"/>
  <c r="W90" i="15" s="1"/>
  <c r="X90" i="15" s="1"/>
  <c r="Y90" i="15" s="1"/>
  <c r="Z90" i="15" s="1"/>
  <c r="C89" i="15"/>
  <c r="D89" i="15" s="1"/>
  <c r="E89" i="15" s="1"/>
  <c r="F89" i="15" s="1"/>
  <c r="G89" i="15" s="1"/>
  <c r="H89" i="15" s="1"/>
  <c r="I89" i="15" s="1"/>
  <c r="J89" i="15" s="1"/>
  <c r="K89" i="15" s="1"/>
  <c r="L89" i="15" s="1"/>
  <c r="M89" i="15" s="1"/>
  <c r="N89" i="15" s="1"/>
  <c r="O89" i="15" s="1"/>
  <c r="P89" i="15" s="1"/>
  <c r="Q89" i="15" s="1"/>
  <c r="R89" i="15" s="1"/>
  <c r="S89" i="15" s="1"/>
  <c r="T89" i="15" s="1"/>
  <c r="U89" i="15" s="1"/>
  <c r="V89" i="15" s="1"/>
  <c r="W89" i="15" s="1"/>
  <c r="X89" i="15" s="1"/>
  <c r="Y89" i="15" s="1"/>
  <c r="Z89" i="15" s="1"/>
  <c r="C88" i="15"/>
  <c r="D88" i="15" s="1"/>
  <c r="E88" i="15" s="1"/>
  <c r="F88" i="15" s="1"/>
  <c r="G88" i="15" s="1"/>
  <c r="H88" i="15" s="1"/>
  <c r="I88" i="15" s="1"/>
  <c r="J88" i="15" s="1"/>
  <c r="K88" i="15" s="1"/>
  <c r="L88" i="15" s="1"/>
  <c r="M88" i="15" s="1"/>
  <c r="N88" i="15" s="1"/>
  <c r="O88" i="15" s="1"/>
  <c r="P88" i="15" s="1"/>
  <c r="Q88" i="15" s="1"/>
  <c r="R88" i="15" s="1"/>
  <c r="S88" i="15" s="1"/>
  <c r="T88" i="15" s="1"/>
  <c r="U88" i="15" s="1"/>
  <c r="V88" i="15" s="1"/>
  <c r="W88" i="15" s="1"/>
  <c r="X88" i="15" s="1"/>
  <c r="Y88" i="15" s="1"/>
  <c r="Z88" i="15" s="1"/>
  <c r="C87" i="15"/>
  <c r="D87" i="15" s="1"/>
  <c r="E87" i="15" s="1"/>
  <c r="F87" i="15" s="1"/>
  <c r="G87" i="15" s="1"/>
  <c r="H87" i="15" s="1"/>
  <c r="I87" i="15" s="1"/>
  <c r="J87" i="15" s="1"/>
  <c r="K87" i="15" s="1"/>
  <c r="L87" i="15" s="1"/>
  <c r="M87" i="15" s="1"/>
  <c r="N87" i="15" s="1"/>
  <c r="O87" i="15" s="1"/>
  <c r="P87" i="15" s="1"/>
  <c r="Q87" i="15" s="1"/>
  <c r="R87" i="15" s="1"/>
  <c r="S87" i="15" s="1"/>
  <c r="T87" i="15" s="1"/>
  <c r="U87" i="15" s="1"/>
  <c r="V87" i="15" s="1"/>
  <c r="W87" i="15" s="1"/>
  <c r="X87" i="15" s="1"/>
  <c r="Y87" i="15" s="1"/>
  <c r="Z87" i="15" s="1"/>
  <c r="C86" i="15"/>
  <c r="D86" i="15" s="1"/>
  <c r="E86" i="15" s="1"/>
  <c r="F86" i="15" s="1"/>
  <c r="G86" i="15" s="1"/>
  <c r="H86" i="15" s="1"/>
  <c r="I86" i="15" s="1"/>
  <c r="J86" i="15" s="1"/>
  <c r="K86" i="15" s="1"/>
  <c r="L86" i="15" s="1"/>
  <c r="M86" i="15" s="1"/>
  <c r="N86" i="15" s="1"/>
  <c r="O86" i="15" s="1"/>
  <c r="P86" i="15" s="1"/>
  <c r="Q86" i="15" s="1"/>
  <c r="R86" i="15" s="1"/>
  <c r="S86" i="15" s="1"/>
  <c r="T86" i="15" s="1"/>
  <c r="U86" i="15" s="1"/>
  <c r="V86" i="15" s="1"/>
  <c r="W86" i="15" s="1"/>
  <c r="X86" i="15" s="1"/>
  <c r="Y86" i="15" s="1"/>
  <c r="Z86" i="15" s="1"/>
  <c r="C85" i="15"/>
  <c r="D85" i="15" s="1"/>
  <c r="E85" i="15" s="1"/>
  <c r="F85" i="15" s="1"/>
  <c r="G85" i="15" s="1"/>
  <c r="H85" i="15" s="1"/>
  <c r="I85" i="15" s="1"/>
  <c r="J85" i="15" s="1"/>
  <c r="K85" i="15" s="1"/>
  <c r="L85" i="15" s="1"/>
  <c r="M85" i="15" s="1"/>
  <c r="N85" i="15" s="1"/>
  <c r="O85" i="15" s="1"/>
  <c r="P85" i="15" s="1"/>
  <c r="Q85" i="15" s="1"/>
  <c r="R85" i="15" s="1"/>
  <c r="S85" i="15" s="1"/>
  <c r="T85" i="15" s="1"/>
  <c r="U85" i="15" s="1"/>
  <c r="V85" i="15" s="1"/>
  <c r="W85" i="15" s="1"/>
  <c r="X85" i="15" s="1"/>
  <c r="Y85" i="15" s="1"/>
  <c r="Z85" i="15" s="1"/>
  <c r="C84" i="15"/>
  <c r="D84" i="15" s="1"/>
  <c r="E84" i="15" s="1"/>
  <c r="F84" i="15" s="1"/>
  <c r="G84" i="15" s="1"/>
  <c r="H84" i="15" s="1"/>
  <c r="I84" i="15" s="1"/>
  <c r="J84" i="15" s="1"/>
  <c r="K84" i="15" s="1"/>
  <c r="L84" i="15" s="1"/>
  <c r="M84" i="15" s="1"/>
  <c r="N84" i="15" s="1"/>
  <c r="O84" i="15" s="1"/>
  <c r="P84" i="15" s="1"/>
  <c r="Q84" i="15" s="1"/>
  <c r="R84" i="15" s="1"/>
  <c r="S84" i="15" s="1"/>
  <c r="T84" i="15" s="1"/>
  <c r="U84" i="15" s="1"/>
  <c r="V84" i="15" s="1"/>
  <c r="W84" i="15" s="1"/>
  <c r="X84" i="15" s="1"/>
  <c r="Y84" i="15" s="1"/>
  <c r="Z84" i="15" s="1"/>
  <c r="C83" i="15"/>
  <c r="D83" i="15" s="1"/>
  <c r="E83" i="15" s="1"/>
  <c r="F83" i="15" s="1"/>
  <c r="G83" i="15" s="1"/>
  <c r="H83" i="15" s="1"/>
  <c r="I83" i="15" s="1"/>
  <c r="J83" i="15" s="1"/>
  <c r="K83" i="15" s="1"/>
  <c r="L83" i="15" s="1"/>
  <c r="M83" i="15" s="1"/>
  <c r="N83" i="15" s="1"/>
  <c r="O83" i="15" s="1"/>
  <c r="P83" i="15" s="1"/>
  <c r="Q83" i="15" s="1"/>
  <c r="R83" i="15" s="1"/>
  <c r="S83" i="15" s="1"/>
  <c r="T83" i="15" s="1"/>
  <c r="U83" i="15" s="1"/>
  <c r="V83" i="15" s="1"/>
  <c r="W83" i="15" s="1"/>
  <c r="X83" i="15" s="1"/>
  <c r="Y83" i="15" s="1"/>
  <c r="Z83" i="15" s="1"/>
  <c r="C82" i="15"/>
  <c r="D82" i="15" s="1"/>
  <c r="E82" i="15" s="1"/>
  <c r="F82" i="15" s="1"/>
  <c r="G82" i="15" s="1"/>
  <c r="H82" i="15" s="1"/>
  <c r="I82" i="15" s="1"/>
  <c r="J82" i="15" s="1"/>
  <c r="K82" i="15" s="1"/>
  <c r="L82" i="15" s="1"/>
  <c r="M82" i="15" s="1"/>
  <c r="N82" i="15" s="1"/>
  <c r="O82" i="15" s="1"/>
  <c r="P82" i="15" s="1"/>
  <c r="Q82" i="15" s="1"/>
  <c r="R82" i="15" s="1"/>
  <c r="S82" i="15" s="1"/>
  <c r="T82" i="15" s="1"/>
  <c r="U82" i="15" s="1"/>
  <c r="V82" i="15" s="1"/>
  <c r="W82" i="15" s="1"/>
  <c r="X82" i="15" s="1"/>
  <c r="Y82" i="15" s="1"/>
  <c r="Z82" i="15" s="1"/>
  <c r="C81" i="15"/>
  <c r="D81" i="15" s="1"/>
  <c r="E81" i="15" s="1"/>
  <c r="F81" i="15" s="1"/>
  <c r="G81" i="15" s="1"/>
  <c r="H81" i="15" s="1"/>
  <c r="I81" i="15" s="1"/>
  <c r="J81" i="15" s="1"/>
  <c r="K81" i="15" s="1"/>
  <c r="L81" i="15" s="1"/>
  <c r="M81" i="15" s="1"/>
  <c r="N81" i="15" s="1"/>
  <c r="O81" i="15" s="1"/>
  <c r="P81" i="15" s="1"/>
  <c r="Q81" i="15" s="1"/>
  <c r="R81" i="15" s="1"/>
  <c r="S81" i="15" s="1"/>
  <c r="T81" i="15" s="1"/>
  <c r="U81" i="15" s="1"/>
  <c r="V81" i="15" s="1"/>
  <c r="W81" i="15" s="1"/>
  <c r="X81" i="15" s="1"/>
  <c r="Y81" i="15" s="1"/>
  <c r="Z81" i="15" s="1"/>
  <c r="C80" i="15"/>
  <c r="D80" i="15" s="1"/>
  <c r="E80" i="15" s="1"/>
  <c r="F80" i="15" s="1"/>
  <c r="G80" i="15" s="1"/>
  <c r="H80" i="15" s="1"/>
  <c r="I80" i="15" s="1"/>
  <c r="J80" i="15" s="1"/>
  <c r="K80" i="15" s="1"/>
  <c r="L80" i="15" s="1"/>
  <c r="M80" i="15" s="1"/>
  <c r="N80" i="15" s="1"/>
  <c r="O80" i="15" s="1"/>
  <c r="P80" i="15" s="1"/>
  <c r="Q80" i="15" s="1"/>
  <c r="R80" i="15" s="1"/>
  <c r="S80" i="15" s="1"/>
  <c r="T80" i="15" s="1"/>
  <c r="U80" i="15" s="1"/>
  <c r="V80" i="15" s="1"/>
  <c r="W80" i="15" s="1"/>
  <c r="X80" i="15" s="1"/>
  <c r="Y80" i="15" s="1"/>
  <c r="Z80" i="15" s="1"/>
  <c r="C79" i="15"/>
  <c r="D79" i="15" s="1"/>
  <c r="E79" i="15" s="1"/>
  <c r="F79" i="15" s="1"/>
  <c r="G79" i="15" s="1"/>
  <c r="H79" i="15" s="1"/>
  <c r="I79" i="15" s="1"/>
  <c r="J79" i="15" s="1"/>
  <c r="K79" i="15" s="1"/>
  <c r="L79" i="15" s="1"/>
  <c r="M79" i="15" s="1"/>
  <c r="N79" i="15" s="1"/>
  <c r="O79" i="15" s="1"/>
  <c r="P79" i="15" s="1"/>
  <c r="Q79" i="15" s="1"/>
  <c r="R79" i="15" s="1"/>
  <c r="S79" i="15" s="1"/>
  <c r="T79" i="15" s="1"/>
  <c r="U79" i="15" s="1"/>
  <c r="V79" i="15" s="1"/>
  <c r="W79" i="15" s="1"/>
  <c r="X79" i="15" s="1"/>
  <c r="Y79" i="15" s="1"/>
  <c r="Z79" i="15" s="1"/>
  <c r="C78" i="15"/>
  <c r="D78" i="15" s="1"/>
  <c r="E78" i="15" s="1"/>
  <c r="F78" i="15" s="1"/>
  <c r="G78" i="15" s="1"/>
  <c r="H78" i="15" s="1"/>
  <c r="I78" i="15" s="1"/>
  <c r="J78" i="15" s="1"/>
  <c r="K78" i="15" s="1"/>
  <c r="L78" i="15" s="1"/>
  <c r="M78" i="15" s="1"/>
  <c r="N78" i="15" s="1"/>
  <c r="O78" i="15" s="1"/>
  <c r="P78" i="15" s="1"/>
  <c r="Q78" i="15" s="1"/>
  <c r="R78" i="15" s="1"/>
  <c r="S78" i="15" s="1"/>
  <c r="T78" i="15" s="1"/>
  <c r="U78" i="15" s="1"/>
  <c r="V78" i="15" s="1"/>
  <c r="W78" i="15" s="1"/>
  <c r="X78" i="15" s="1"/>
  <c r="Y78" i="15" s="1"/>
  <c r="Z78" i="15" s="1"/>
  <c r="C77" i="15"/>
  <c r="D77" i="15" s="1"/>
  <c r="E77" i="15" s="1"/>
  <c r="F77" i="15" s="1"/>
  <c r="G77" i="15" s="1"/>
  <c r="H77" i="15" s="1"/>
  <c r="I77" i="15" s="1"/>
  <c r="J77" i="15" s="1"/>
  <c r="K77" i="15" s="1"/>
  <c r="L77" i="15" s="1"/>
  <c r="M77" i="15" s="1"/>
  <c r="N77" i="15" s="1"/>
  <c r="O77" i="15" s="1"/>
  <c r="P77" i="15" s="1"/>
  <c r="Q77" i="15" s="1"/>
  <c r="R77" i="15" s="1"/>
  <c r="S77" i="15" s="1"/>
  <c r="T77" i="15" s="1"/>
  <c r="U77" i="15" s="1"/>
  <c r="V77" i="15" s="1"/>
  <c r="W77" i="15" s="1"/>
  <c r="X77" i="15" s="1"/>
  <c r="Y77" i="15" s="1"/>
  <c r="Z77" i="15" s="1"/>
  <c r="C76" i="15"/>
  <c r="D76" i="15" s="1"/>
  <c r="E76" i="15" s="1"/>
  <c r="F76" i="15" s="1"/>
  <c r="G76" i="15" s="1"/>
  <c r="H76" i="15" s="1"/>
  <c r="I76" i="15" s="1"/>
  <c r="J76" i="15" s="1"/>
  <c r="K76" i="15" s="1"/>
  <c r="L76" i="15" s="1"/>
  <c r="M76" i="15" s="1"/>
  <c r="N76" i="15" s="1"/>
  <c r="O76" i="15" s="1"/>
  <c r="P76" i="15" s="1"/>
  <c r="Q76" i="15" s="1"/>
  <c r="R76" i="15" s="1"/>
  <c r="S76" i="15" s="1"/>
  <c r="T76" i="15" s="1"/>
  <c r="U76" i="15" s="1"/>
  <c r="V76" i="15" s="1"/>
  <c r="W76" i="15" s="1"/>
  <c r="X76" i="15" s="1"/>
  <c r="Y76" i="15" s="1"/>
  <c r="Z76" i="15" s="1"/>
  <c r="C75" i="15"/>
  <c r="D75" i="15" s="1"/>
  <c r="E75" i="15" s="1"/>
  <c r="F75" i="15" s="1"/>
  <c r="G75" i="15" s="1"/>
  <c r="H75" i="15" s="1"/>
  <c r="I75" i="15" s="1"/>
  <c r="J75" i="15" s="1"/>
  <c r="K75" i="15" s="1"/>
  <c r="L75" i="15" s="1"/>
  <c r="M75" i="15" s="1"/>
  <c r="N75" i="15" s="1"/>
  <c r="O75" i="15" s="1"/>
  <c r="P75" i="15" s="1"/>
  <c r="Q75" i="15" s="1"/>
  <c r="R75" i="15" s="1"/>
  <c r="S75" i="15" s="1"/>
  <c r="T75" i="15" s="1"/>
  <c r="U75" i="15" s="1"/>
  <c r="V75" i="15" s="1"/>
  <c r="W75" i="15" s="1"/>
  <c r="X75" i="15" s="1"/>
  <c r="Y75" i="15" s="1"/>
  <c r="Z75" i="15" s="1"/>
  <c r="C74" i="15"/>
  <c r="D74" i="15" s="1"/>
  <c r="E74" i="15" s="1"/>
  <c r="F74" i="15" s="1"/>
  <c r="G74" i="15" s="1"/>
  <c r="H74" i="15" s="1"/>
  <c r="I74" i="15" s="1"/>
  <c r="J74" i="15" s="1"/>
  <c r="K74" i="15" s="1"/>
  <c r="L74" i="15" s="1"/>
  <c r="M74" i="15" s="1"/>
  <c r="N74" i="15" s="1"/>
  <c r="O74" i="15" s="1"/>
  <c r="P74" i="15" s="1"/>
  <c r="Q74" i="15" s="1"/>
  <c r="R74" i="15" s="1"/>
  <c r="S74" i="15" s="1"/>
  <c r="T74" i="15" s="1"/>
  <c r="U74" i="15" s="1"/>
  <c r="V74" i="15" s="1"/>
  <c r="W74" i="15" s="1"/>
  <c r="X74" i="15" s="1"/>
  <c r="Y74" i="15" s="1"/>
  <c r="Z74" i="15" s="1"/>
  <c r="C73" i="15"/>
  <c r="D73" i="15" s="1"/>
  <c r="E73" i="15" s="1"/>
  <c r="F73" i="15" s="1"/>
  <c r="G73" i="15" s="1"/>
  <c r="H73" i="15" s="1"/>
  <c r="I73" i="15" s="1"/>
  <c r="J73" i="15" s="1"/>
  <c r="K73" i="15" s="1"/>
  <c r="L73" i="15" s="1"/>
  <c r="M73" i="15" s="1"/>
  <c r="N73" i="15" s="1"/>
  <c r="O73" i="15" s="1"/>
  <c r="P73" i="15" s="1"/>
  <c r="Q73" i="15" s="1"/>
  <c r="R73" i="15" s="1"/>
  <c r="S73" i="15" s="1"/>
  <c r="T73" i="15" s="1"/>
  <c r="U73" i="15" s="1"/>
  <c r="V73" i="15" s="1"/>
  <c r="W73" i="15" s="1"/>
  <c r="X73" i="15" s="1"/>
  <c r="Y73" i="15" s="1"/>
  <c r="Z73" i="15" s="1"/>
  <c r="C72" i="15"/>
  <c r="D72" i="15" s="1"/>
  <c r="E72" i="15" s="1"/>
  <c r="F72" i="15" s="1"/>
  <c r="G72" i="15" s="1"/>
  <c r="H72" i="15" s="1"/>
  <c r="I72" i="15" s="1"/>
  <c r="J72" i="15" s="1"/>
  <c r="K72" i="15" s="1"/>
  <c r="L72" i="15" s="1"/>
  <c r="M72" i="15" s="1"/>
  <c r="N72" i="15" s="1"/>
  <c r="O72" i="15" s="1"/>
  <c r="P72" i="15" s="1"/>
  <c r="Q72" i="15" s="1"/>
  <c r="R72" i="15" s="1"/>
  <c r="S72" i="15" s="1"/>
  <c r="T72" i="15" s="1"/>
  <c r="U72" i="15" s="1"/>
  <c r="V72" i="15" s="1"/>
  <c r="W72" i="15" s="1"/>
  <c r="X72" i="15" s="1"/>
  <c r="Y72" i="15" s="1"/>
  <c r="Z72" i="15" s="1"/>
  <c r="C71" i="15"/>
  <c r="D71" i="15" s="1"/>
  <c r="E71" i="15" s="1"/>
  <c r="F71" i="15" s="1"/>
  <c r="G71" i="15" s="1"/>
  <c r="H71" i="15" s="1"/>
  <c r="I71" i="15" s="1"/>
  <c r="J71" i="15" s="1"/>
  <c r="K71" i="15" s="1"/>
  <c r="L71" i="15" s="1"/>
  <c r="M71" i="15" s="1"/>
  <c r="N71" i="15" s="1"/>
  <c r="O71" i="15" s="1"/>
  <c r="P71" i="15" s="1"/>
  <c r="Q71" i="15" s="1"/>
  <c r="R71" i="15" s="1"/>
  <c r="S71" i="15" s="1"/>
  <c r="T71" i="15" s="1"/>
  <c r="U71" i="15" s="1"/>
  <c r="V71" i="15" s="1"/>
  <c r="W71" i="15" s="1"/>
  <c r="X71" i="15" s="1"/>
  <c r="Y71" i="15" s="1"/>
  <c r="Z71" i="15" s="1"/>
  <c r="C70" i="15"/>
  <c r="D70" i="15" s="1"/>
  <c r="E70" i="15" s="1"/>
  <c r="F70" i="15" s="1"/>
  <c r="G70" i="15" s="1"/>
  <c r="H70" i="15" s="1"/>
  <c r="I70" i="15" s="1"/>
  <c r="J70" i="15" s="1"/>
  <c r="K70" i="15" s="1"/>
  <c r="L70" i="15" s="1"/>
  <c r="M70" i="15" s="1"/>
  <c r="N70" i="15" s="1"/>
  <c r="O70" i="15" s="1"/>
  <c r="P70" i="15" s="1"/>
  <c r="Q70" i="15" s="1"/>
  <c r="R70" i="15" s="1"/>
  <c r="S70" i="15" s="1"/>
  <c r="T70" i="15" s="1"/>
  <c r="U70" i="15" s="1"/>
  <c r="V70" i="15" s="1"/>
  <c r="W70" i="15" s="1"/>
  <c r="X70" i="15" s="1"/>
  <c r="Y70" i="15" s="1"/>
  <c r="Z70" i="15" s="1"/>
  <c r="C69" i="15"/>
  <c r="D69" i="15" s="1"/>
  <c r="E69" i="15" s="1"/>
  <c r="F69" i="15" s="1"/>
  <c r="G69" i="15" s="1"/>
  <c r="H69" i="15" s="1"/>
  <c r="I69" i="15" s="1"/>
  <c r="J69" i="15" s="1"/>
  <c r="K69" i="15" s="1"/>
  <c r="L69" i="15" s="1"/>
  <c r="M69" i="15" s="1"/>
  <c r="N69" i="15" s="1"/>
  <c r="O69" i="15" s="1"/>
  <c r="P69" i="15" s="1"/>
  <c r="Q69" i="15" s="1"/>
  <c r="R69" i="15" s="1"/>
  <c r="S69" i="15" s="1"/>
  <c r="T69" i="15" s="1"/>
  <c r="U69" i="15" s="1"/>
  <c r="V69" i="15" s="1"/>
  <c r="W69" i="15" s="1"/>
  <c r="X69" i="15" s="1"/>
  <c r="Y69" i="15" s="1"/>
  <c r="Z69" i="15" s="1"/>
  <c r="C68" i="15"/>
  <c r="D68" i="15" s="1"/>
  <c r="E68" i="15" s="1"/>
  <c r="F68" i="15" s="1"/>
  <c r="G68" i="15" s="1"/>
  <c r="H68" i="15" s="1"/>
  <c r="I68" i="15" s="1"/>
  <c r="J68" i="15" s="1"/>
  <c r="K68" i="15" s="1"/>
  <c r="L68" i="15" s="1"/>
  <c r="M68" i="15" s="1"/>
  <c r="N68" i="15" s="1"/>
  <c r="O68" i="15" s="1"/>
  <c r="P68" i="15" s="1"/>
  <c r="Q68" i="15" s="1"/>
  <c r="R68" i="15" s="1"/>
  <c r="S68" i="15" s="1"/>
  <c r="T68" i="15" s="1"/>
  <c r="U68" i="15" s="1"/>
  <c r="V68" i="15" s="1"/>
  <c r="W68" i="15" s="1"/>
  <c r="X68" i="15" s="1"/>
  <c r="Y68" i="15" s="1"/>
  <c r="Z68" i="15" s="1"/>
  <c r="C67" i="15"/>
  <c r="D67" i="15" s="1"/>
  <c r="E67" i="15" s="1"/>
  <c r="F67" i="15" s="1"/>
  <c r="G67" i="15" s="1"/>
  <c r="H67" i="15" s="1"/>
  <c r="I67" i="15" s="1"/>
  <c r="J67" i="15" s="1"/>
  <c r="K67" i="15" s="1"/>
  <c r="L67" i="15" s="1"/>
  <c r="M67" i="15" s="1"/>
  <c r="N67" i="15" s="1"/>
  <c r="O67" i="15" s="1"/>
  <c r="P67" i="15" s="1"/>
  <c r="Q67" i="15" s="1"/>
  <c r="R67" i="15" s="1"/>
  <c r="S67" i="15" s="1"/>
  <c r="T67" i="15" s="1"/>
  <c r="U67" i="15" s="1"/>
  <c r="V67" i="15" s="1"/>
  <c r="W67" i="15" s="1"/>
  <c r="X67" i="15" s="1"/>
  <c r="Y67" i="15" s="1"/>
  <c r="Z67" i="15" s="1"/>
  <c r="C66" i="15"/>
  <c r="D66" i="15" s="1"/>
  <c r="E66" i="15" s="1"/>
  <c r="F66" i="15" s="1"/>
  <c r="G66" i="15" s="1"/>
  <c r="H66" i="15" s="1"/>
  <c r="I66" i="15" s="1"/>
  <c r="J66" i="15" s="1"/>
  <c r="K66" i="15" s="1"/>
  <c r="L66" i="15" s="1"/>
  <c r="M66" i="15" s="1"/>
  <c r="N66" i="15" s="1"/>
  <c r="O66" i="15" s="1"/>
  <c r="P66" i="15" s="1"/>
  <c r="Q66" i="15" s="1"/>
  <c r="R66" i="15" s="1"/>
  <c r="S66" i="15" s="1"/>
  <c r="T66" i="15" s="1"/>
  <c r="U66" i="15" s="1"/>
  <c r="V66" i="15" s="1"/>
  <c r="W66" i="15" s="1"/>
  <c r="X66" i="15" s="1"/>
  <c r="Y66" i="15" s="1"/>
  <c r="Z66" i="15" s="1"/>
  <c r="C65" i="15"/>
  <c r="D65" i="15" s="1"/>
  <c r="E65" i="15" s="1"/>
  <c r="F65" i="15" s="1"/>
  <c r="G65" i="15" s="1"/>
  <c r="H65" i="15" s="1"/>
  <c r="I65" i="15" s="1"/>
  <c r="J65" i="15" s="1"/>
  <c r="K65" i="15" s="1"/>
  <c r="L65" i="15" s="1"/>
  <c r="M65" i="15" s="1"/>
  <c r="N65" i="15" s="1"/>
  <c r="O65" i="15" s="1"/>
  <c r="P65" i="15" s="1"/>
  <c r="Q65" i="15" s="1"/>
  <c r="R65" i="15" s="1"/>
  <c r="S65" i="15" s="1"/>
  <c r="T65" i="15" s="1"/>
  <c r="U65" i="15" s="1"/>
  <c r="V65" i="15" s="1"/>
  <c r="W65" i="15" s="1"/>
  <c r="X65" i="15" s="1"/>
  <c r="Y65" i="15" s="1"/>
  <c r="Z65" i="15" s="1"/>
  <c r="C64" i="15"/>
  <c r="D64" i="15" s="1"/>
  <c r="E64" i="15" s="1"/>
  <c r="F64" i="15" s="1"/>
  <c r="G64" i="15" s="1"/>
  <c r="H64" i="15" s="1"/>
  <c r="I64" i="15" s="1"/>
  <c r="J64" i="15" s="1"/>
  <c r="K64" i="15" s="1"/>
  <c r="L64" i="15" s="1"/>
  <c r="M64" i="15" s="1"/>
  <c r="N64" i="15" s="1"/>
  <c r="O64" i="15" s="1"/>
  <c r="P64" i="15" s="1"/>
  <c r="Q64" i="15" s="1"/>
  <c r="R64" i="15" s="1"/>
  <c r="S64" i="15" s="1"/>
  <c r="T64" i="15" s="1"/>
  <c r="U64" i="15" s="1"/>
  <c r="V64" i="15" s="1"/>
  <c r="W64" i="15" s="1"/>
  <c r="X64" i="15" s="1"/>
  <c r="Y64" i="15" s="1"/>
  <c r="Z64" i="15" s="1"/>
  <c r="C63" i="15"/>
  <c r="D63" i="15" s="1"/>
  <c r="E63" i="15" s="1"/>
  <c r="F63" i="15" s="1"/>
  <c r="G63" i="15" s="1"/>
  <c r="H63" i="15" s="1"/>
  <c r="I63" i="15" s="1"/>
  <c r="J63" i="15" s="1"/>
  <c r="K63" i="15" s="1"/>
  <c r="L63" i="15" s="1"/>
  <c r="M63" i="15" s="1"/>
  <c r="N63" i="15" s="1"/>
  <c r="O63" i="15" s="1"/>
  <c r="P63" i="15" s="1"/>
  <c r="Q63" i="15" s="1"/>
  <c r="R63" i="15" s="1"/>
  <c r="S63" i="15" s="1"/>
  <c r="T63" i="15" s="1"/>
  <c r="U63" i="15" s="1"/>
  <c r="V63" i="15" s="1"/>
  <c r="W63" i="15" s="1"/>
  <c r="X63" i="15" s="1"/>
  <c r="Y63" i="15" s="1"/>
  <c r="Z63" i="15" s="1"/>
  <c r="C62" i="15"/>
  <c r="D62" i="15" s="1"/>
  <c r="E62" i="15" s="1"/>
  <c r="F62" i="15" s="1"/>
  <c r="G62" i="15" s="1"/>
  <c r="H62" i="15" s="1"/>
  <c r="I62" i="15" s="1"/>
  <c r="J62" i="15" s="1"/>
  <c r="K62" i="15" s="1"/>
  <c r="L62" i="15" s="1"/>
  <c r="M62" i="15" s="1"/>
  <c r="N62" i="15" s="1"/>
  <c r="O62" i="15" s="1"/>
  <c r="P62" i="15" s="1"/>
  <c r="Q62" i="15" s="1"/>
  <c r="R62" i="15" s="1"/>
  <c r="S62" i="15" s="1"/>
  <c r="T62" i="15" s="1"/>
  <c r="U62" i="15" s="1"/>
  <c r="V62" i="15" s="1"/>
  <c r="W62" i="15" s="1"/>
  <c r="X62" i="15" s="1"/>
  <c r="Y62" i="15" s="1"/>
  <c r="Z62" i="15" s="1"/>
  <c r="C61" i="15"/>
  <c r="D61" i="15" s="1"/>
  <c r="E61" i="15" s="1"/>
  <c r="F61" i="15" s="1"/>
  <c r="G61" i="15" s="1"/>
  <c r="H61" i="15" s="1"/>
  <c r="I61" i="15" s="1"/>
  <c r="J61" i="15" s="1"/>
  <c r="K61" i="15" s="1"/>
  <c r="L61" i="15" s="1"/>
  <c r="M61" i="15" s="1"/>
  <c r="N61" i="15" s="1"/>
  <c r="O61" i="15" s="1"/>
  <c r="P61" i="15" s="1"/>
  <c r="Q61" i="15" s="1"/>
  <c r="R61" i="15" s="1"/>
  <c r="S61" i="15" s="1"/>
  <c r="T61" i="15" s="1"/>
  <c r="U61" i="15" s="1"/>
  <c r="V61" i="15" s="1"/>
  <c r="W61" i="15" s="1"/>
  <c r="X61" i="15" s="1"/>
  <c r="Y61" i="15" s="1"/>
  <c r="Z61" i="15" s="1"/>
  <c r="C60" i="15"/>
  <c r="D60" i="15" s="1"/>
  <c r="E60" i="15" s="1"/>
  <c r="F60" i="15" s="1"/>
  <c r="G60" i="15" s="1"/>
  <c r="H60" i="15" s="1"/>
  <c r="I60" i="15" s="1"/>
  <c r="J60" i="15" s="1"/>
  <c r="K60" i="15" s="1"/>
  <c r="L60" i="15" s="1"/>
  <c r="M60" i="15" s="1"/>
  <c r="N60" i="15" s="1"/>
  <c r="O60" i="15" s="1"/>
  <c r="P60" i="15" s="1"/>
  <c r="Q60" i="15" s="1"/>
  <c r="R60" i="15" s="1"/>
  <c r="S60" i="15" s="1"/>
  <c r="T60" i="15" s="1"/>
  <c r="U60" i="15" s="1"/>
  <c r="V60" i="15" s="1"/>
  <c r="W60" i="15" s="1"/>
  <c r="X60" i="15" s="1"/>
  <c r="Y60" i="15" s="1"/>
  <c r="Z60" i="15" s="1"/>
  <c r="C59" i="15"/>
  <c r="D59" i="15" s="1"/>
  <c r="E59" i="15" s="1"/>
  <c r="F59" i="15" s="1"/>
  <c r="G59" i="15" s="1"/>
  <c r="H59" i="15" s="1"/>
  <c r="I59" i="15" s="1"/>
  <c r="J59" i="15" s="1"/>
  <c r="K59" i="15" s="1"/>
  <c r="L59" i="15" s="1"/>
  <c r="M59" i="15" s="1"/>
  <c r="N59" i="15" s="1"/>
  <c r="O59" i="15" s="1"/>
  <c r="P59" i="15" s="1"/>
  <c r="Q59" i="15" s="1"/>
  <c r="R59" i="15" s="1"/>
  <c r="S59" i="15" s="1"/>
  <c r="T59" i="15" s="1"/>
  <c r="U59" i="15" s="1"/>
  <c r="V59" i="15" s="1"/>
  <c r="W59" i="15" s="1"/>
  <c r="X59" i="15" s="1"/>
  <c r="Y59" i="15" s="1"/>
  <c r="Z59" i="15" s="1"/>
  <c r="C58" i="15"/>
  <c r="D58" i="15" s="1"/>
  <c r="E58" i="15" s="1"/>
  <c r="F58" i="15" s="1"/>
  <c r="G58" i="15" s="1"/>
  <c r="H58" i="15" s="1"/>
  <c r="I58" i="15" s="1"/>
  <c r="J58" i="15" s="1"/>
  <c r="K58" i="15" s="1"/>
  <c r="L58" i="15" s="1"/>
  <c r="M58" i="15" s="1"/>
  <c r="N58" i="15" s="1"/>
  <c r="O58" i="15" s="1"/>
  <c r="P58" i="15" s="1"/>
  <c r="Q58" i="15" s="1"/>
  <c r="R58" i="15" s="1"/>
  <c r="S58" i="15" s="1"/>
  <c r="T58" i="15" s="1"/>
  <c r="U58" i="15" s="1"/>
  <c r="V58" i="15" s="1"/>
  <c r="W58" i="15" s="1"/>
  <c r="X58" i="15" s="1"/>
  <c r="Y58" i="15" s="1"/>
  <c r="Z58" i="15" s="1"/>
  <c r="C57" i="15"/>
  <c r="D57" i="15" s="1"/>
  <c r="E57" i="15" s="1"/>
  <c r="F57" i="15" s="1"/>
  <c r="G57" i="15" s="1"/>
  <c r="H57" i="15" s="1"/>
  <c r="I57" i="15" s="1"/>
  <c r="J57" i="15" s="1"/>
  <c r="K57" i="15" s="1"/>
  <c r="L57" i="15" s="1"/>
  <c r="M57" i="15" s="1"/>
  <c r="N57" i="15" s="1"/>
  <c r="O57" i="15" s="1"/>
  <c r="P57" i="15" s="1"/>
  <c r="Q57" i="15" s="1"/>
  <c r="R57" i="15" s="1"/>
  <c r="S57" i="15" s="1"/>
  <c r="T57" i="15" s="1"/>
  <c r="U57" i="15" s="1"/>
  <c r="V57" i="15" s="1"/>
  <c r="W57" i="15" s="1"/>
  <c r="X57" i="15" s="1"/>
  <c r="Y57" i="15" s="1"/>
  <c r="Z57" i="15" s="1"/>
  <c r="C56" i="15"/>
  <c r="D56" i="15" s="1"/>
  <c r="E56" i="15" s="1"/>
  <c r="F56" i="15" s="1"/>
  <c r="G56" i="15" s="1"/>
  <c r="H56" i="15" s="1"/>
  <c r="I56" i="15" s="1"/>
  <c r="J56" i="15" s="1"/>
  <c r="K56" i="15" s="1"/>
  <c r="L56" i="15" s="1"/>
  <c r="M56" i="15" s="1"/>
  <c r="N56" i="15" s="1"/>
  <c r="O56" i="15" s="1"/>
  <c r="P56" i="15" s="1"/>
  <c r="Q56" i="15" s="1"/>
  <c r="R56" i="15" s="1"/>
  <c r="S56" i="15" s="1"/>
  <c r="T56" i="15" s="1"/>
  <c r="U56" i="15" s="1"/>
  <c r="V56" i="15" s="1"/>
  <c r="W56" i="15" s="1"/>
  <c r="X56" i="15" s="1"/>
  <c r="Y56" i="15" s="1"/>
  <c r="Z56" i="15" s="1"/>
  <c r="C55" i="15"/>
  <c r="D55" i="15" s="1"/>
  <c r="E55" i="15" s="1"/>
  <c r="F55" i="15" s="1"/>
  <c r="G55" i="15" s="1"/>
  <c r="H55" i="15" s="1"/>
  <c r="I55" i="15" s="1"/>
  <c r="J55" i="15" s="1"/>
  <c r="K55" i="15" s="1"/>
  <c r="L55" i="15" s="1"/>
  <c r="M55" i="15" s="1"/>
  <c r="N55" i="15" s="1"/>
  <c r="O55" i="15" s="1"/>
  <c r="P55" i="15" s="1"/>
  <c r="Q55" i="15" s="1"/>
  <c r="R55" i="15" s="1"/>
  <c r="S55" i="15" s="1"/>
  <c r="T55" i="15" s="1"/>
  <c r="U55" i="15" s="1"/>
  <c r="V55" i="15" s="1"/>
  <c r="W55" i="15" s="1"/>
  <c r="X55" i="15" s="1"/>
  <c r="Y55" i="15" s="1"/>
  <c r="Z55" i="15" s="1"/>
  <c r="C54" i="15"/>
  <c r="D54" i="15" s="1"/>
  <c r="E54" i="15" s="1"/>
  <c r="F54" i="15" s="1"/>
  <c r="G54" i="15" s="1"/>
  <c r="H54" i="15" s="1"/>
  <c r="I54" i="15" s="1"/>
  <c r="J54" i="15" s="1"/>
  <c r="K54" i="15" s="1"/>
  <c r="L54" i="15" s="1"/>
  <c r="M54" i="15" s="1"/>
  <c r="N54" i="15" s="1"/>
  <c r="O54" i="15" s="1"/>
  <c r="P54" i="15" s="1"/>
  <c r="Q54" i="15" s="1"/>
  <c r="R54" i="15" s="1"/>
  <c r="S54" i="15" s="1"/>
  <c r="T54" i="15" s="1"/>
  <c r="U54" i="15" s="1"/>
  <c r="V54" i="15" s="1"/>
  <c r="W54" i="15" s="1"/>
  <c r="X54" i="15" s="1"/>
  <c r="Y54" i="15" s="1"/>
  <c r="Z54" i="15" s="1"/>
  <c r="C53" i="15"/>
  <c r="D53" i="15" s="1"/>
  <c r="E53" i="15" s="1"/>
  <c r="F53" i="15" s="1"/>
  <c r="G53" i="15" s="1"/>
  <c r="H53" i="15" s="1"/>
  <c r="I53" i="15" s="1"/>
  <c r="J53" i="15" s="1"/>
  <c r="K53" i="15" s="1"/>
  <c r="L53" i="15" s="1"/>
  <c r="M53" i="15" s="1"/>
  <c r="N53" i="15" s="1"/>
  <c r="O53" i="15" s="1"/>
  <c r="P53" i="15" s="1"/>
  <c r="Q53" i="15" s="1"/>
  <c r="R53" i="15" s="1"/>
  <c r="S53" i="15" s="1"/>
  <c r="T53" i="15" s="1"/>
  <c r="U53" i="15" s="1"/>
  <c r="V53" i="15" s="1"/>
  <c r="W53" i="15" s="1"/>
  <c r="X53" i="15" s="1"/>
  <c r="Y53" i="15" s="1"/>
  <c r="Z53" i="15" s="1"/>
  <c r="C52" i="15"/>
  <c r="D52" i="15" s="1"/>
  <c r="E52" i="15" s="1"/>
  <c r="F52" i="15" s="1"/>
  <c r="G52" i="15" s="1"/>
  <c r="H52" i="15" s="1"/>
  <c r="I52" i="15" s="1"/>
  <c r="J52" i="15" s="1"/>
  <c r="K52" i="15" s="1"/>
  <c r="L52" i="15" s="1"/>
  <c r="M52" i="15" s="1"/>
  <c r="N52" i="15" s="1"/>
  <c r="O52" i="15" s="1"/>
  <c r="P52" i="15" s="1"/>
  <c r="Q52" i="15" s="1"/>
  <c r="R52" i="15" s="1"/>
  <c r="S52" i="15" s="1"/>
  <c r="T52" i="15" s="1"/>
  <c r="U52" i="15" s="1"/>
  <c r="V52" i="15" s="1"/>
  <c r="W52" i="15" s="1"/>
  <c r="X52" i="15" s="1"/>
  <c r="Y52" i="15" s="1"/>
  <c r="Z52" i="15" s="1"/>
  <c r="C51" i="15"/>
  <c r="D51" i="15" s="1"/>
  <c r="E51" i="15" s="1"/>
  <c r="F51" i="15" s="1"/>
  <c r="G51" i="15" s="1"/>
  <c r="H51" i="15" s="1"/>
  <c r="I51" i="15" s="1"/>
  <c r="J51" i="15" s="1"/>
  <c r="K51" i="15" s="1"/>
  <c r="L51" i="15" s="1"/>
  <c r="M51" i="15" s="1"/>
  <c r="N51" i="15" s="1"/>
  <c r="O51" i="15" s="1"/>
  <c r="P51" i="15" s="1"/>
  <c r="Q51" i="15" s="1"/>
  <c r="R51" i="15" s="1"/>
  <c r="S51" i="15" s="1"/>
  <c r="T51" i="15" s="1"/>
  <c r="U51" i="15" s="1"/>
  <c r="V51" i="15" s="1"/>
  <c r="W51" i="15" s="1"/>
  <c r="X51" i="15" s="1"/>
  <c r="Y51" i="15" s="1"/>
  <c r="Z51" i="15" s="1"/>
  <c r="C50" i="15"/>
  <c r="D50" i="15" s="1"/>
  <c r="E50" i="15" s="1"/>
  <c r="F50" i="15" s="1"/>
  <c r="G50" i="15" s="1"/>
  <c r="H50" i="15" s="1"/>
  <c r="I50" i="15" s="1"/>
  <c r="J50" i="15" s="1"/>
  <c r="K50" i="15" s="1"/>
  <c r="L50" i="15" s="1"/>
  <c r="M50" i="15" s="1"/>
  <c r="N50" i="15" s="1"/>
  <c r="O50" i="15" s="1"/>
  <c r="P50" i="15" s="1"/>
  <c r="Q50" i="15" s="1"/>
  <c r="R50" i="15" s="1"/>
  <c r="S50" i="15" s="1"/>
  <c r="T50" i="15" s="1"/>
  <c r="U50" i="15" s="1"/>
  <c r="V50" i="15" s="1"/>
  <c r="W50" i="15" s="1"/>
  <c r="X50" i="15" s="1"/>
  <c r="Y50" i="15" s="1"/>
  <c r="Z50" i="15" s="1"/>
  <c r="C49" i="15"/>
  <c r="D49" i="15" s="1"/>
  <c r="E49" i="15" s="1"/>
  <c r="F49" i="15" s="1"/>
  <c r="G49" i="15" s="1"/>
  <c r="H49" i="15" s="1"/>
  <c r="I49" i="15" s="1"/>
  <c r="J49" i="15" s="1"/>
  <c r="K49" i="15" s="1"/>
  <c r="L49" i="15" s="1"/>
  <c r="M49" i="15" s="1"/>
  <c r="N49" i="15" s="1"/>
  <c r="O49" i="15" s="1"/>
  <c r="P49" i="15" s="1"/>
  <c r="Q49" i="15" s="1"/>
  <c r="R49" i="15" s="1"/>
  <c r="S49" i="15" s="1"/>
  <c r="T49" i="15" s="1"/>
  <c r="U49" i="15" s="1"/>
  <c r="V49" i="15" s="1"/>
  <c r="W49" i="15" s="1"/>
  <c r="X49" i="15" s="1"/>
  <c r="Y49" i="15" s="1"/>
  <c r="Z49" i="15" s="1"/>
  <c r="C48" i="15"/>
  <c r="D48" i="15" s="1"/>
  <c r="E48" i="15" s="1"/>
  <c r="F48" i="15" s="1"/>
  <c r="G48" i="15" s="1"/>
  <c r="H48" i="15" s="1"/>
  <c r="I48" i="15" s="1"/>
  <c r="J48" i="15" s="1"/>
  <c r="K48" i="15" s="1"/>
  <c r="L48" i="15" s="1"/>
  <c r="M48" i="15" s="1"/>
  <c r="N48" i="15" s="1"/>
  <c r="O48" i="15" s="1"/>
  <c r="P48" i="15" s="1"/>
  <c r="Q48" i="15" s="1"/>
  <c r="R48" i="15" s="1"/>
  <c r="S48" i="15" s="1"/>
  <c r="T48" i="15" s="1"/>
  <c r="U48" i="15" s="1"/>
  <c r="V48" i="15" s="1"/>
  <c r="W48" i="15" s="1"/>
  <c r="X48" i="15" s="1"/>
  <c r="Y48" i="15" s="1"/>
  <c r="Z48" i="15" s="1"/>
  <c r="C47" i="15"/>
  <c r="D47" i="15" s="1"/>
  <c r="E47" i="15" s="1"/>
  <c r="F47" i="15" s="1"/>
  <c r="G47" i="15" s="1"/>
  <c r="H47" i="15" s="1"/>
  <c r="I47" i="15" s="1"/>
  <c r="J47" i="15" s="1"/>
  <c r="K47" i="15" s="1"/>
  <c r="L47" i="15" s="1"/>
  <c r="M47" i="15" s="1"/>
  <c r="N47" i="15" s="1"/>
  <c r="O47" i="15" s="1"/>
  <c r="P47" i="15" s="1"/>
  <c r="Q47" i="15" s="1"/>
  <c r="R47" i="15" s="1"/>
  <c r="S47" i="15" s="1"/>
  <c r="T47" i="15" s="1"/>
  <c r="U47" i="15" s="1"/>
  <c r="V47" i="15" s="1"/>
  <c r="W47" i="15" s="1"/>
  <c r="X47" i="15" s="1"/>
  <c r="Y47" i="15" s="1"/>
  <c r="Z47" i="15" s="1"/>
  <c r="C46" i="15"/>
  <c r="D46" i="15" s="1"/>
  <c r="E46" i="15" s="1"/>
  <c r="F46" i="15" s="1"/>
  <c r="G46" i="15" s="1"/>
  <c r="H46" i="15" s="1"/>
  <c r="I46" i="15" s="1"/>
  <c r="J46" i="15" s="1"/>
  <c r="K46" i="15" s="1"/>
  <c r="L46" i="15" s="1"/>
  <c r="M46" i="15" s="1"/>
  <c r="N46" i="15" s="1"/>
  <c r="O46" i="15" s="1"/>
  <c r="P46" i="15" s="1"/>
  <c r="Q46" i="15" s="1"/>
  <c r="R46" i="15" s="1"/>
  <c r="S46" i="15" s="1"/>
  <c r="T46" i="15" s="1"/>
  <c r="U46" i="15" s="1"/>
  <c r="V46" i="15" s="1"/>
  <c r="W46" i="15" s="1"/>
  <c r="X46" i="15" s="1"/>
  <c r="Y46" i="15" s="1"/>
  <c r="Z46" i="15" s="1"/>
  <c r="C45" i="15"/>
  <c r="D45" i="15" s="1"/>
  <c r="E45" i="15" s="1"/>
  <c r="F45" i="15" s="1"/>
  <c r="G45" i="15" s="1"/>
  <c r="H45" i="15" s="1"/>
  <c r="I45" i="15" s="1"/>
  <c r="J45" i="15" s="1"/>
  <c r="K45" i="15" s="1"/>
  <c r="L45" i="15" s="1"/>
  <c r="M45" i="15" s="1"/>
  <c r="N45" i="15" s="1"/>
  <c r="O45" i="15" s="1"/>
  <c r="P45" i="15" s="1"/>
  <c r="Q45" i="15" s="1"/>
  <c r="R45" i="15" s="1"/>
  <c r="S45" i="15" s="1"/>
  <c r="T45" i="15" s="1"/>
  <c r="U45" i="15" s="1"/>
  <c r="V45" i="15" s="1"/>
  <c r="W45" i="15" s="1"/>
  <c r="X45" i="15" s="1"/>
  <c r="Y45" i="15" s="1"/>
  <c r="Z45" i="15" s="1"/>
  <c r="C44" i="15"/>
  <c r="D44" i="15" s="1"/>
  <c r="E44" i="15" s="1"/>
  <c r="F44" i="15" s="1"/>
  <c r="G44" i="15" s="1"/>
  <c r="H44" i="15" s="1"/>
  <c r="I44" i="15" s="1"/>
  <c r="J44" i="15" s="1"/>
  <c r="K44" i="15" s="1"/>
  <c r="L44" i="15" s="1"/>
  <c r="M44" i="15" s="1"/>
  <c r="N44" i="15" s="1"/>
  <c r="O44" i="15" s="1"/>
  <c r="P44" i="15" s="1"/>
  <c r="Q44" i="15" s="1"/>
  <c r="R44" i="15" s="1"/>
  <c r="S44" i="15" s="1"/>
  <c r="T44" i="15" s="1"/>
  <c r="U44" i="15" s="1"/>
  <c r="V44" i="15" s="1"/>
  <c r="W44" i="15" s="1"/>
  <c r="X44" i="15" s="1"/>
  <c r="Y44" i="15" s="1"/>
  <c r="Z44" i="15" s="1"/>
  <c r="C43" i="15"/>
  <c r="D43" i="15" s="1"/>
  <c r="E43" i="15" s="1"/>
  <c r="F43" i="15" s="1"/>
  <c r="G43" i="15" s="1"/>
  <c r="H43" i="15" s="1"/>
  <c r="I43" i="15" s="1"/>
  <c r="J43" i="15" s="1"/>
  <c r="K43" i="15" s="1"/>
  <c r="L43" i="15" s="1"/>
  <c r="M43" i="15" s="1"/>
  <c r="N43" i="15" s="1"/>
  <c r="O43" i="15" s="1"/>
  <c r="P43" i="15" s="1"/>
  <c r="Q43" i="15" s="1"/>
  <c r="R43" i="15" s="1"/>
  <c r="S43" i="15" s="1"/>
  <c r="T43" i="15" s="1"/>
  <c r="U43" i="15" s="1"/>
  <c r="V43" i="15" s="1"/>
  <c r="W43" i="15" s="1"/>
  <c r="X43" i="15" s="1"/>
  <c r="Y43" i="15" s="1"/>
  <c r="Z43" i="15" s="1"/>
  <c r="C42" i="15"/>
  <c r="D42" i="15" s="1"/>
  <c r="E42" i="15" s="1"/>
  <c r="F42" i="15" s="1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C41" i="15"/>
  <c r="D41" i="15" s="1"/>
  <c r="E41" i="15" s="1"/>
  <c r="F41" i="15" s="1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C40" i="15"/>
  <c r="D40" i="15" s="1"/>
  <c r="E40" i="15" s="1"/>
  <c r="F40" i="15" s="1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C39" i="15"/>
  <c r="D39" i="15" s="1"/>
  <c r="E39" i="15" s="1"/>
  <c r="F39" i="15" s="1"/>
  <c r="G39" i="15" s="1"/>
  <c r="H39" i="15" s="1"/>
  <c r="I39" i="15" s="1"/>
  <c r="J39" i="15" s="1"/>
  <c r="K39" i="15" s="1"/>
  <c r="L39" i="15" s="1"/>
  <c r="M39" i="15" s="1"/>
  <c r="N39" i="15" s="1"/>
  <c r="O39" i="15" s="1"/>
  <c r="P39" i="15" s="1"/>
  <c r="Q39" i="15" s="1"/>
  <c r="R39" i="15" s="1"/>
  <c r="S39" i="15" s="1"/>
  <c r="T39" i="15" s="1"/>
  <c r="U39" i="15" s="1"/>
  <c r="V39" i="15" s="1"/>
  <c r="W39" i="15" s="1"/>
  <c r="X39" i="15" s="1"/>
  <c r="Y39" i="15" s="1"/>
  <c r="Z39" i="15" s="1"/>
  <c r="C38" i="15"/>
  <c r="D38" i="15" s="1"/>
  <c r="E38" i="15" s="1"/>
  <c r="F38" i="15" s="1"/>
  <c r="G38" i="15" s="1"/>
  <c r="H38" i="15" s="1"/>
  <c r="I38" i="15" s="1"/>
  <c r="J38" i="15" s="1"/>
  <c r="K38" i="15" s="1"/>
  <c r="L38" i="15" s="1"/>
  <c r="M38" i="15" s="1"/>
  <c r="N38" i="15" s="1"/>
  <c r="O38" i="15" s="1"/>
  <c r="P38" i="15" s="1"/>
  <c r="Q38" i="15" s="1"/>
  <c r="R38" i="15" s="1"/>
  <c r="S38" i="15" s="1"/>
  <c r="T38" i="15" s="1"/>
  <c r="U38" i="15" s="1"/>
  <c r="V38" i="15" s="1"/>
  <c r="W38" i="15" s="1"/>
  <c r="X38" i="15" s="1"/>
  <c r="Y38" i="15" s="1"/>
  <c r="Z38" i="15" s="1"/>
  <c r="C37" i="15"/>
  <c r="D37" i="15" s="1"/>
  <c r="E37" i="15" s="1"/>
  <c r="F37" i="15" s="1"/>
  <c r="G37" i="15" s="1"/>
  <c r="H37" i="15" s="1"/>
  <c r="I37" i="15" s="1"/>
  <c r="J37" i="15" s="1"/>
  <c r="K37" i="15" s="1"/>
  <c r="L37" i="15" s="1"/>
  <c r="M37" i="15" s="1"/>
  <c r="N37" i="15" s="1"/>
  <c r="O37" i="15" s="1"/>
  <c r="P37" i="15" s="1"/>
  <c r="Q37" i="15" s="1"/>
  <c r="R37" i="15" s="1"/>
  <c r="S37" i="15" s="1"/>
  <c r="T37" i="15" s="1"/>
  <c r="U37" i="15" s="1"/>
  <c r="V37" i="15" s="1"/>
  <c r="W37" i="15" s="1"/>
  <c r="X37" i="15" s="1"/>
  <c r="Y37" i="15" s="1"/>
  <c r="Z37" i="15" s="1"/>
  <c r="W93" i="55" l="1"/>
  <c r="W94" i="5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<sst xmlns="http://schemas.openxmlformats.org/spreadsheetml/2006/main" count="108" uniqueCount="70">
  <si>
    <t>Relatório de Atualização Mensal -</t>
  </si>
  <si>
    <t xml:space="preserve">Mês </t>
  </si>
  <si>
    <t>Valor corrigido</t>
  </si>
  <si>
    <t>Id.Juros (%)</t>
  </si>
  <si>
    <t>Juros de Mora</t>
  </si>
  <si>
    <t>Principal + juros</t>
  </si>
  <si>
    <t>Referência</t>
  </si>
  <si>
    <t>(a)</t>
  </si>
  <si>
    <t>(b)</t>
  </si>
  <si>
    <t>(c = a x b)</t>
  </si>
  <si>
    <t>(d)</t>
  </si>
  <si>
    <t>(e = c x d)</t>
  </si>
  <si>
    <t>(f = c + e)</t>
  </si>
  <si>
    <t>VALOR DA CONDENAÇÃO ATUALIZADO</t>
  </si>
  <si>
    <t>VALOR TOTAL DEVIDO PELA CONDENAÇÃO</t>
  </si>
  <si>
    <t>NOME</t>
  </si>
  <si>
    <t>MATRÍCULA</t>
  </si>
  <si>
    <t>MÊS DE INÍCIO</t>
  </si>
  <si>
    <t>Vencimento</t>
  </si>
  <si>
    <t>GAM</t>
  </si>
  <si>
    <t>Índice de Atualização</t>
  </si>
  <si>
    <t>CITAÇÃO</t>
  </si>
  <si>
    <t>NOMEAÇÃO</t>
  </si>
  <si>
    <t>Mês</t>
  </si>
  <si>
    <t>Ref 1</t>
  </si>
  <si>
    <t>Ref 2</t>
  </si>
  <si>
    <t>Ref 3</t>
  </si>
  <si>
    <t>Ref 4</t>
  </si>
  <si>
    <t>Ref 5</t>
  </si>
  <si>
    <t>Ref 6</t>
  </si>
  <si>
    <t>Ref 7</t>
  </si>
  <si>
    <t>Ref 8</t>
  </si>
  <si>
    <t>Ref 9</t>
  </si>
  <si>
    <t>Ref 10</t>
  </si>
  <si>
    <t>Ref 11</t>
  </si>
  <si>
    <t>Ref 12</t>
  </si>
  <si>
    <t>Ref 13</t>
  </si>
  <si>
    <t>Ref 14</t>
  </si>
  <si>
    <t>Ref 15</t>
  </si>
  <si>
    <t>Ref 16</t>
  </si>
  <si>
    <t>Ref 17</t>
  </si>
  <si>
    <t>Ref 18</t>
  </si>
  <si>
    <t>Ref 19</t>
  </si>
  <si>
    <t>Ref 20</t>
  </si>
  <si>
    <t>Ref 21</t>
  </si>
  <si>
    <t>Ref 22</t>
  </si>
  <si>
    <t>Ref 23</t>
  </si>
  <si>
    <t>Ref 24</t>
  </si>
  <si>
    <t>Ref 25</t>
  </si>
  <si>
    <t>Nivel</t>
  </si>
  <si>
    <t>Titulação</t>
  </si>
  <si>
    <t>CPF</t>
  </si>
  <si>
    <t>ENDEREÇO</t>
  </si>
  <si>
    <t>ATUALIZ.</t>
  </si>
  <si>
    <t>HON SUCUM</t>
  </si>
  <si>
    <t>VALOR DOS HONORÁRIOS DE SUCUMBÊNCIA 5%</t>
  </si>
  <si>
    <t>IPCA</t>
  </si>
  <si>
    <t>INPC (N)</t>
  </si>
  <si>
    <t>IPCA (NP)</t>
  </si>
  <si>
    <t>INPC / TR / IPCA (NPM)</t>
  </si>
  <si>
    <t>POUPANÇA + SELIC</t>
  </si>
  <si>
    <t>JUROS</t>
  </si>
  <si>
    <t>Pago</t>
  </si>
  <si>
    <t>Devido</t>
  </si>
  <si>
    <t>GCET</t>
  </si>
  <si>
    <t>Adic. Tempo Serv.</t>
  </si>
  <si>
    <t>%</t>
  </si>
  <si>
    <t>Diferença Total</t>
  </si>
  <si>
    <t>Diferença</t>
  </si>
  <si>
    <t>Férias e 13° Salário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</si>
</sst>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 &quot;#,##0.00"/>
    <numFmt numFmtId="165" formatCode="&quot;R$&quot;\ #,##0.00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color theme="3"/>
      <name val="Arial"/>
      <family val="2"/>
    </font>
    <font>
      <b/>
      <sz val="8"/>
      <color rgb="FF2A0BE7"/>
      <name val="Arial"/>
      <family val="2"/>
    </font>
    <font>
      <sz val="8"/>
      <color theme="0"/>
      <name val="Arial"/>
      <family val="2"/>
    </font>
    <font>
      <b/>
      <sz val="10"/>
      <name val="Arial"/>
      <family val="2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44" fontId="4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237">
    <xf numFmtId="0" fontId="0" fillId="0" borderId="0" xfId="0"/>
    <xf numFmtId="165" fontId="5" fillId="0" borderId="2" xfId="0" applyNumberFormat="1" applyFont="1" applyBorder="1" applyAlignment="1">
      <alignment horizontal="center"/>
    </xf>
    <xf numFmtId="0" fontId="8" fillId="0" borderId="0" xfId="0" applyFont="1"/>
    <xf numFmtId="4" fontId="8" fillId="0" borderId="4" xfId="0" applyNumberFormat="1" applyFont="1" applyBorder="1" applyAlignment="1">
      <alignment horizontal="center"/>
    </xf>
    <xf numFmtId="0" fontId="5" fillId="0" borderId="4" xfId="0" applyFont="1" applyBorder="1"/>
    <xf numFmtId="165" fontId="8" fillId="3" borderId="4" xfId="0" applyNumberFormat="1" applyFont="1" applyFill="1" applyBorder="1"/>
    <xf numFmtId="165" fontId="8" fillId="3" borderId="4" xfId="0" applyNumberFormat="1" applyFont="1" applyFill="1" applyBorder="1" applyAlignment="1">
      <alignment horizontal="right"/>
    </xf>
    <xf numFmtId="0" fontId="11" fillId="0" borderId="3" xfId="0" applyFont="1" applyBorder="1"/>
    <xf numFmtId="0" fontId="11" fillId="0" borderId="6" xfId="0" applyFont="1" applyBorder="1"/>
    <xf numFmtId="0" fontId="6" fillId="0" borderId="4" xfId="0" applyFont="1" applyBorder="1"/>
    <xf numFmtId="165" fontId="6" fillId="5" borderId="4" xfId="3" applyNumberFormat="1" applyFont="1" applyFill="1" applyBorder="1" applyAlignment="1">
      <alignment horizontal="center" vertical="center"/>
    </xf>
    <xf numFmtId="165" fontId="6" fillId="0" borderId="12" xfId="2" applyNumberFormat="1" applyFont="1" applyBorder="1" applyAlignment="1">
      <alignment horizontal="center" vertical="center"/>
    </xf>
    <xf numFmtId="165" fontId="6" fillId="5" borderId="4" xfId="2" applyNumberFormat="1" applyFont="1" applyFill="1" applyBorder="1" applyAlignment="1">
      <alignment horizontal="center" vertical="center"/>
    </xf>
    <xf numFmtId="165" fontId="6" fillId="0" borderId="4" xfId="2" applyNumberFormat="1" applyFont="1" applyBorder="1" applyAlignment="1">
      <alignment horizontal="center" vertical="center"/>
    </xf>
    <xf numFmtId="165" fontId="6" fillId="0" borderId="13" xfId="2" applyNumberFormat="1" applyFont="1" applyBorder="1" applyAlignment="1">
      <alignment horizontal="center" vertical="center"/>
    </xf>
    <xf numFmtId="165" fontId="6" fillId="0" borderId="12" xfId="2" applyNumberFormat="1" applyFont="1" applyBorder="1" applyAlignment="1">
      <alignment horizontal="center"/>
    </xf>
    <xf numFmtId="165" fontId="6" fillId="5" borderId="4" xfId="2" applyNumberFormat="1" applyFont="1" applyFill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165" fontId="6" fillId="0" borderId="13" xfId="2" applyNumberFormat="1" applyFont="1" applyBorder="1" applyAlignment="1">
      <alignment horizontal="center"/>
    </xf>
    <xf numFmtId="165" fontId="6" fillId="0" borderId="14" xfId="2" applyNumberFormat="1" applyFont="1" applyBorder="1" applyAlignment="1">
      <alignment horizontal="center"/>
    </xf>
    <xf numFmtId="165" fontId="6" fillId="5" borderId="15" xfId="2" applyNumberFormat="1" applyFont="1" applyFill="1" applyBorder="1" applyAlignment="1">
      <alignment horizontal="center"/>
    </xf>
    <xf numFmtId="165" fontId="6" fillId="0" borderId="15" xfId="2" applyNumberFormat="1" applyFont="1" applyBorder="1" applyAlignment="1">
      <alignment horizontal="center"/>
    </xf>
    <xf numFmtId="165" fontId="6" fillId="0" borderId="16" xfId="2" applyNumberFormat="1" applyFont="1" applyBorder="1" applyAlignment="1">
      <alignment horizontal="center"/>
    </xf>
    <xf numFmtId="17" fontId="6" fillId="0" borderId="5" xfId="3" applyNumberFormat="1" applyFont="1" applyBorder="1" applyAlignment="1">
      <alignment horizontal="left" vertical="center"/>
    </xf>
    <xf numFmtId="17" fontId="0" fillId="0" borderId="4" xfId="0" applyNumberFormat="1" applyBorder="1"/>
    <xf numFmtId="0" fontId="0" fillId="0" borderId="4" xfId="0" applyBorder="1"/>
    <xf numFmtId="0" fontId="4" fillId="0" borderId="0" xfId="5"/>
    <xf numFmtId="165" fontId="4" fillId="0" borderId="0" xfId="5" applyNumberFormat="1"/>
    <xf numFmtId="165" fontId="6" fillId="5" borderId="4" xfId="5" applyNumberFormat="1" applyFont="1" applyFill="1" applyBorder="1" applyAlignment="1">
      <alignment horizontal="center" vertical="center"/>
    </xf>
    <xf numFmtId="165" fontId="6" fillId="0" borderId="12" xfId="9" applyNumberFormat="1" applyFont="1" applyBorder="1" applyAlignment="1">
      <alignment horizontal="center" vertical="center"/>
    </xf>
    <xf numFmtId="165" fontId="6" fillId="5" borderId="4" xfId="9" applyNumberFormat="1" applyFont="1" applyFill="1" applyBorder="1" applyAlignment="1">
      <alignment horizontal="center" vertical="center"/>
    </xf>
    <xf numFmtId="165" fontId="6" fillId="0" borderId="4" xfId="9" applyNumberFormat="1" applyFont="1" applyBorder="1" applyAlignment="1">
      <alignment horizontal="center" vertical="center"/>
    </xf>
    <xf numFmtId="165" fontId="6" fillId="0" borderId="13" xfId="9" applyNumberFormat="1" applyFont="1" applyBorder="1" applyAlignment="1">
      <alignment horizontal="center" vertical="center"/>
    </xf>
    <xf numFmtId="165" fontId="6" fillId="0" borderId="12" xfId="9" applyNumberFormat="1" applyFont="1" applyBorder="1" applyAlignment="1">
      <alignment horizontal="center"/>
    </xf>
    <xf numFmtId="165" fontId="6" fillId="5" borderId="4" xfId="9" applyNumberFormat="1" applyFont="1" applyFill="1" applyBorder="1" applyAlignment="1">
      <alignment horizontal="center"/>
    </xf>
    <xf numFmtId="165" fontId="6" fillId="0" borderId="4" xfId="9" applyNumberFormat="1" applyFont="1" applyBorder="1" applyAlignment="1">
      <alignment horizontal="center"/>
    </xf>
    <xf numFmtId="165" fontId="6" fillId="0" borderId="13" xfId="9" applyNumberFormat="1" applyFont="1" applyBorder="1" applyAlignment="1">
      <alignment horizontal="center"/>
    </xf>
    <xf numFmtId="165" fontId="6" fillId="5" borderId="4" xfId="5" applyNumberFormat="1" applyFont="1" applyFill="1" applyBorder="1" applyAlignment="1">
      <alignment horizontal="center"/>
    </xf>
    <xf numFmtId="165" fontId="6" fillId="0" borderId="22" xfId="9" applyNumberFormat="1" applyFont="1" applyBorder="1" applyAlignment="1">
      <alignment horizontal="center"/>
    </xf>
    <xf numFmtId="165" fontId="6" fillId="5" borderId="11" xfId="9" applyNumberFormat="1" applyFont="1" applyFill="1" applyBorder="1" applyAlignment="1">
      <alignment horizontal="center"/>
    </xf>
    <xf numFmtId="165" fontId="6" fillId="0" borderId="11" xfId="9" applyNumberFormat="1" applyFont="1" applyBorder="1" applyAlignment="1">
      <alignment horizontal="center"/>
    </xf>
    <xf numFmtId="165" fontId="6" fillId="0" borderId="23" xfId="9" applyNumberFormat="1" applyFont="1" applyBorder="1" applyAlignment="1">
      <alignment horizontal="center"/>
    </xf>
    <xf numFmtId="165" fontId="6" fillId="0" borderId="15" xfId="9" applyNumberFormat="1" applyFont="1" applyBorder="1" applyAlignment="1">
      <alignment horizontal="center"/>
    </xf>
    <xf numFmtId="165" fontId="6" fillId="5" borderId="15" xfId="9" applyNumberFormat="1" applyFont="1" applyFill="1" applyBorder="1" applyAlignment="1">
      <alignment horizontal="center"/>
    </xf>
    <xf numFmtId="165" fontId="6" fillId="0" borderId="16" xfId="9" applyNumberFormat="1" applyFont="1" applyBorder="1" applyAlignment="1">
      <alignment horizontal="center"/>
    </xf>
    <xf numFmtId="165" fontId="6" fillId="0" borderId="14" xfId="9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6" fillId="0" borderId="0" xfId="0" applyFont="1"/>
    <xf numFmtId="165" fontId="6" fillId="5" borderId="2" xfId="5" applyNumberFormat="1" applyFont="1" applyFill="1" applyBorder="1" applyAlignment="1">
      <alignment horizontal="center" vertical="center"/>
    </xf>
    <xf numFmtId="165" fontId="6" fillId="0" borderId="25" xfId="9" applyNumberFormat="1" applyFont="1" applyBorder="1" applyAlignment="1">
      <alignment horizontal="center" vertical="center"/>
    </xf>
    <xf numFmtId="165" fontId="6" fillId="5" borderId="2" xfId="9" applyNumberFormat="1" applyFont="1" applyFill="1" applyBorder="1" applyAlignment="1">
      <alignment horizontal="center" vertical="center"/>
    </xf>
    <xf numFmtId="165" fontId="6" fillId="0" borderId="2" xfId="9" applyNumberFormat="1" applyFont="1" applyBorder="1" applyAlignment="1">
      <alignment horizontal="center" vertical="center"/>
    </xf>
    <xf numFmtId="165" fontId="6" fillId="0" borderId="24" xfId="9" applyNumberFormat="1" applyFont="1" applyBorder="1" applyAlignment="1">
      <alignment horizontal="center" vertical="center"/>
    </xf>
    <xf numFmtId="0" fontId="11" fillId="0" borderId="5" xfId="0" applyFont="1" applyBorder="1" applyProtection="1">
      <protection locked="0"/>
    </xf>
    <xf numFmtId="17" fontId="6" fillId="0" borderId="17" xfId="3" applyNumberFormat="1" applyFont="1" applyBorder="1" applyAlignment="1">
      <alignment horizontal="left" vertical="center"/>
    </xf>
    <xf numFmtId="165" fontId="6" fillId="5" borderId="2" xfId="3" applyNumberFormat="1" applyFont="1" applyFill="1" applyBorder="1" applyAlignment="1">
      <alignment horizontal="center" vertical="center"/>
    </xf>
    <xf numFmtId="165" fontId="6" fillId="0" borderId="25" xfId="2" applyNumberFormat="1" applyFont="1" applyBorder="1" applyAlignment="1">
      <alignment horizontal="center" vertical="center"/>
    </xf>
    <xf numFmtId="165" fontId="6" fillId="5" borderId="2" xfId="2" applyNumberFormat="1" applyFont="1" applyFill="1" applyBorder="1" applyAlignment="1">
      <alignment horizontal="center" vertical="center"/>
    </xf>
    <xf numFmtId="165" fontId="6" fillId="0" borderId="2" xfId="2" applyNumberFormat="1" applyFont="1" applyBorder="1" applyAlignment="1">
      <alignment horizontal="center" vertical="center"/>
    </xf>
    <xf numFmtId="165" fontId="6" fillId="0" borderId="24" xfId="2" applyNumberFormat="1" applyFont="1" applyBorder="1" applyAlignment="1">
      <alignment horizontal="center" vertical="center"/>
    </xf>
    <xf numFmtId="0" fontId="5" fillId="0" borderId="26" xfId="3" applyFont="1" applyBorder="1" applyAlignment="1">
      <alignment horizontal="center" vertical="center"/>
    </xf>
    <xf numFmtId="0" fontId="5" fillId="0" borderId="18" xfId="3" applyFont="1" applyBorder="1" applyAlignment="1">
      <alignment horizontal="center" vertical="center"/>
    </xf>
    <xf numFmtId="0" fontId="5" fillId="5" borderId="19" xfId="3" applyFont="1" applyFill="1" applyBorder="1" applyAlignment="1">
      <alignment horizontal="center" vertical="center"/>
    </xf>
    <xf numFmtId="0" fontId="5" fillId="0" borderId="19" xfId="3" applyFont="1" applyBorder="1" applyAlignment="1">
      <alignment horizontal="center" vertical="center"/>
    </xf>
    <xf numFmtId="0" fontId="5" fillId="5" borderId="20" xfId="3" applyFont="1" applyFill="1" applyBorder="1" applyAlignment="1">
      <alignment horizontal="center" vertical="center"/>
    </xf>
    <xf numFmtId="0" fontId="5" fillId="0" borderId="20" xfId="3" applyFont="1" applyBorder="1" applyAlignment="1">
      <alignment horizontal="center" vertical="center"/>
    </xf>
    <xf numFmtId="165" fontId="6" fillId="0" borderId="25" xfId="3" applyNumberFormat="1" applyFont="1" applyBorder="1" applyAlignment="1">
      <alignment horizontal="center" vertical="center"/>
    </xf>
    <xf numFmtId="165" fontId="6" fillId="0" borderId="2" xfId="3" applyNumberFormat="1" applyFont="1" applyBorder="1" applyAlignment="1">
      <alignment horizontal="center" vertical="center"/>
    </xf>
    <xf numFmtId="165" fontId="6" fillId="5" borderId="24" xfId="3" applyNumberFormat="1" applyFont="1" applyFill="1" applyBorder="1" applyAlignment="1">
      <alignment horizontal="center" vertical="center"/>
    </xf>
    <xf numFmtId="165" fontId="6" fillId="0" borderId="4" xfId="3" applyNumberFormat="1" applyFont="1" applyBorder="1" applyAlignment="1">
      <alignment horizontal="center" vertical="center"/>
    </xf>
    <xf numFmtId="165" fontId="6" fillId="5" borderId="13" xfId="3" applyNumberFormat="1" applyFont="1" applyFill="1" applyBorder="1" applyAlignment="1">
      <alignment horizontal="center" vertical="center"/>
    </xf>
    <xf numFmtId="165" fontId="6" fillId="0" borderId="12" xfId="3" applyNumberFormat="1" applyFont="1" applyBorder="1" applyAlignment="1">
      <alignment horizontal="center" vertical="center"/>
    </xf>
    <xf numFmtId="165" fontId="5" fillId="5" borderId="19" xfId="5" applyNumberFormat="1" applyFont="1" applyFill="1" applyBorder="1" applyAlignment="1">
      <alignment horizontal="center" vertical="center"/>
    </xf>
    <xf numFmtId="165" fontId="5" fillId="0" borderId="19" xfId="5" applyNumberFormat="1" applyFont="1" applyBorder="1" applyAlignment="1">
      <alignment horizontal="center" vertical="center"/>
    </xf>
    <xf numFmtId="165" fontId="5" fillId="5" borderId="20" xfId="5" applyNumberFormat="1" applyFont="1" applyFill="1" applyBorder="1" applyAlignment="1">
      <alignment horizontal="center" vertical="center"/>
    </xf>
    <xf numFmtId="165" fontId="5" fillId="0" borderId="18" xfId="5" applyNumberFormat="1" applyFont="1" applyBorder="1" applyAlignment="1">
      <alignment horizontal="center" vertical="center"/>
    </xf>
    <xf numFmtId="165" fontId="5" fillId="0" borderId="20" xfId="5" applyNumberFormat="1" applyFont="1" applyBorder="1" applyAlignment="1">
      <alignment horizontal="center" vertical="center"/>
    </xf>
    <xf numFmtId="165" fontId="6" fillId="0" borderId="2" xfId="5" applyNumberFormat="1" applyFont="1" applyBorder="1" applyAlignment="1">
      <alignment horizontal="center" vertical="center"/>
    </xf>
    <xf numFmtId="165" fontId="6" fillId="5" borderId="24" xfId="5" applyNumberFormat="1" applyFont="1" applyFill="1" applyBorder="1" applyAlignment="1">
      <alignment horizontal="center" vertical="center"/>
    </xf>
    <xf numFmtId="165" fontId="6" fillId="0" borderId="25" xfId="5" applyNumberFormat="1" applyFont="1" applyBorder="1" applyAlignment="1">
      <alignment horizontal="center" vertical="center"/>
    </xf>
    <xf numFmtId="165" fontId="6" fillId="0" borderId="4" xfId="5" applyNumberFormat="1" applyFont="1" applyBorder="1" applyAlignment="1">
      <alignment horizontal="center" vertical="center"/>
    </xf>
    <xf numFmtId="165" fontId="6" fillId="5" borderId="13" xfId="5" applyNumberFormat="1" applyFont="1" applyFill="1" applyBorder="1" applyAlignment="1">
      <alignment horizontal="center" vertical="center"/>
    </xf>
    <xf numFmtId="165" fontId="6" fillId="0" borderId="12" xfId="5" applyNumberFormat="1" applyFont="1" applyBorder="1" applyAlignment="1">
      <alignment horizontal="center" vertical="center"/>
    </xf>
    <xf numFmtId="165" fontId="6" fillId="5" borderId="11" xfId="5" applyNumberFormat="1" applyFont="1" applyFill="1" applyBorder="1" applyAlignment="1">
      <alignment horizontal="center" vertical="center"/>
    </xf>
    <xf numFmtId="165" fontId="6" fillId="0" borderId="11" xfId="5" applyNumberFormat="1" applyFont="1" applyBorder="1" applyAlignment="1">
      <alignment horizontal="center" vertical="center"/>
    </xf>
    <xf numFmtId="165" fontId="6" fillId="5" borderId="23" xfId="5" applyNumberFormat="1" applyFont="1" applyFill="1" applyBorder="1" applyAlignment="1">
      <alignment horizontal="center" vertical="center"/>
    </xf>
    <xf numFmtId="165" fontId="6" fillId="0" borderId="22" xfId="5" applyNumberFormat="1" applyFont="1" applyBorder="1" applyAlignment="1">
      <alignment horizontal="center" vertical="center"/>
    </xf>
    <xf numFmtId="165" fontId="6" fillId="5" borderId="15" xfId="5" applyNumberFormat="1" applyFont="1" applyFill="1" applyBorder="1" applyAlignment="1">
      <alignment horizontal="center" vertical="center"/>
    </xf>
    <xf numFmtId="165" fontId="6" fillId="0" borderId="15" xfId="5" applyNumberFormat="1" applyFont="1" applyBorder="1" applyAlignment="1">
      <alignment horizontal="center" vertical="center"/>
    </xf>
    <xf numFmtId="165" fontId="6" fillId="5" borderId="16" xfId="5" applyNumberFormat="1" applyFont="1" applyFill="1" applyBorder="1" applyAlignment="1">
      <alignment horizontal="center" vertical="center"/>
    </xf>
    <xf numFmtId="165" fontId="6" fillId="0" borderId="14" xfId="5" applyNumberFormat="1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65" fontId="6" fillId="0" borderId="21" xfId="5" applyNumberFormat="1" applyFont="1" applyBorder="1" applyAlignment="1">
      <alignment horizontal="center" vertical="center"/>
    </xf>
    <xf numFmtId="165" fontId="6" fillId="0" borderId="6" xfId="5" applyNumberFormat="1" applyFont="1" applyBorder="1" applyAlignment="1">
      <alignment horizontal="center" vertical="center"/>
    </xf>
    <xf numFmtId="17" fontId="6" fillId="0" borderId="27" xfId="5" applyNumberFormat="1" applyFont="1" applyBorder="1" applyAlignment="1">
      <alignment horizontal="left" vertical="center"/>
    </xf>
    <xf numFmtId="17" fontId="6" fillId="0" borderId="28" xfId="5" applyNumberFormat="1" applyFont="1" applyBorder="1" applyAlignment="1">
      <alignment horizontal="left" vertical="center"/>
    </xf>
    <xf numFmtId="17" fontId="6" fillId="0" borderId="29" xfId="5" applyNumberFormat="1" applyFont="1" applyBorder="1" applyAlignment="1">
      <alignment horizontal="left" vertical="center"/>
    </xf>
    <xf numFmtId="17" fontId="6" fillId="0" borderId="30" xfId="5" applyNumberFormat="1" applyFont="1" applyBorder="1" applyAlignment="1">
      <alignment horizontal="left" vertical="center"/>
    </xf>
    <xf numFmtId="0" fontId="4" fillId="0" borderId="31" xfId="5" applyBorder="1"/>
    <xf numFmtId="17" fontId="6" fillId="0" borderId="32" xfId="5" applyNumberFormat="1" applyFont="1" applyBorder="1" applyAlignment="1">
      <alignment horizontal="left" vertical="center"/>
    </xf>
    <xf numFmtId="165" fontId="6" fillId="0" borderId="33" xfId="5" applyNumberFormat="1" applyFont="1" applyBorder="1" applyAlignment="1">
      <alignment horizontal="center" vertical="center"/>
    </xf>
    <xf numFmtId="165" fontId="6" fillId="5" borderId="34" xfId="5" applyNumberFormat="1" applyFont="1" applyFill="1" applyBorder="1" applyAlignment="1">
      <alignment horizontal="center" vertical="center"/>
    </xf>
    <xf numFmtId="165" fontId="6" fillId="0" borderId="34" xfId="5" applyNumberFormat="1" applyFont="1" applyBorder="1" applyAlignment="1">
      <alignment horizontal="center" vertical="center"/>
    </xf>
    <xf numFmtId="165" fontId="6" fillId="5" borderId="35" xfId="5" applyNumberFormat="1" applyFont="1" applyFill="1" applyBorder="1" applyAlignment="1">
      <alignment horizontal="center" vertical="center"/>
    </xf>
    <xf numFmtId="165" fontId="6" fillId="0" borderId="33" xfId="9" applyNumberFormat="1" applyFont="1" applyBorder="1" applyAlignment="1">
      <alignment horizontal="center"/>
    </xf>
    <xf numFmtId="165" fontId="6" fillId="5" borderId="34" xfId="9" applyNumberFormat="1" applyFont="1" applyFill="1" applyBorder="1" applyAlignment="1">
      <alignment horizontal="center"/>
    </xf>
    <xf numFmtId="165" fontId="6" fillId="0" borderId="34" xfId="9" applyNumberFormat="1" applyFont="1" applyBorder="1" applyAlignment="1">
      <alignment horizontal="center"/>
    </xf>
    <xf numFmtId="165" fontId="6" fillId="0" borderId="35" xfId="9" applyNumberFormat="1" applyFont="1" applyBorder="1" applyAlignment="1">
      <alignment horizontal="center"/>
    </xf>
    <xf numFmtId="165" fontId="6" fillId="5" borderId="34" xfId="5" applyNumberFormat="1" applyFont="1" applyFill="1" applyBorder="1" applyAlignment="1">
      <alignment horizontal="center"/>
    </xf>
    <xf numFmtId="165" fontId="6" fillId="5" borderId="15" xfId="5" applyNumberFormat="1" applyFont="1" applyFill="1" applyBorder="1" applyAlignment="1">
      <alignment horizontal="center"/>
    </xf>
    <xf numFmtId="165" fontId="6" fillId="0" borderId="33" xfId="9" applyNumberFormat="1" applyFont="1" applyBorder="1" applyAlignment="1">
      <alignment horizontal="center" vertical="center"/>
    </xf>
    <xf numFmtId="165" fontId="6" fillId="5" borderId="34" xfId="9" applyNumberFormat="1" applyFont="1" applyFill="1" applyBorder="1" applyAlignment="1">
      <alignment horizontal="center" vertical="center"/>
    </xf>
    <xf numFmtId="165" fontId="6" fillId="0" borderId="34" xfId="9" applyNumberFormat="1" applyFont="1" applyBorder="1" applyAlignment="1">
      <alignment horizontal="center" vertical="center"/>
    </xf>
    <xf numFmtId="165" fontId="6" fillId="0" borderId="35" xfId="9" applyNumberFormat="1" applyFont="1" applyBorder="1" applyAlignment="1">
      <alignment horizontal="center" vertical="center"/>
    </xf>
    <xf numFmtId="165" fontId="6" fillId="0" borderId="14" xfId="9" applyNumberFormat="1" applyFont="1" applyBorder="1" applyAlignment="1">
      <alignment horizontal="center" vertical="center"/>
    </xf>
    <xf numFmtId="165" fontId="6" fillId="5" borderId="15" xfId="9" applyNumberFormat="1" applyFont="1" applyFill="1" applyBorder="1" applyAlignment="1">
      <alignment horizontal="center" vertical="center"/>
    </xf>
    <xf numFmtId="165" fontId="6" fillId="0" borderId="15" xfId="9" applyNumberFormat="1" applyFont="1" applyBorder="1" applyAlignment="1">
      <alignment horizontal="center" vertical="center"/>
    </xf>
    <xf numFmtId="165" fontId="6" fillId="0" borderId="16" xfId="9" applyNumberFormat="1" applyFont="1" applyBorder="1" applyAlignment="1">
      <alignment horizontal="center" vertical="center"/>
    </xf>
    <xf numFmtId="165" fontId="6" fillId="0" borderId="10" xfId="5" applyNumberFormat="1" applyFont="1" applyBorder="1" applyAlignment="1">
      <alignment horizontal="center" vertical="center"/>
    </xf>
    <xf numFmtId="165" fontId="6" fillId="5" borderId="1" xfId="5" applyNumberFormat="1" applyFont="1" applyFill="1" applyBorder="1" applyAlignment="1">
      <alignment horizontal="center" vertical="center"/>
    </xf>
    <xf numFmtId="165" fontId="6" fillId="0" borderId="1" xfId="5" applyNumberFormat="1" applyFont="1" applyBorder="1" applyAlignment="1">
      <alignment horizontal="center" vertical="center"/>
    </xf>
    <xf numFmtId="165" fontId="6" fillId="5" borderId="36" xfId="5" applyNumberFormat="1" applyFont="1" applyFill="1" applyBorder="1" applyAlignment="1">
      <alignment horizontal="center" vertical="center"/>
    </xf>
    <xf numFmtId="165" fontId="6" fillId="0" borderId="37" xfId="5" applyNumberFormat="1" applyFont="1" applyBorder="1" applyAlignment="1">
      <alignment horizontal="center" vertical="center"/>
    </xf>
    <xf numFmtId="165" fontId="6" fillId="0" borderId="37" xfId="9" applyNumberFormat="1" applyFont="1" applyBorder="1" applyAlignment="1">
      <alignment horizontal="center" vertical="center"/>
    </xf>
    <xf numFmtId="165" fontId="6" fillId="5" borderId="1" xfId="9" applyNumberFormat="1" applyFont="1" applyFill="1" applyBorder="1" applyAlignment="1">
      <alignment horizontal="center" vertical="center"/>
    </xf>
    <xf numFmtId="165" fontId="6" fillId="0" borderId="1" xfId="9" applyNumberFormat="1" applyFont="1" applyBorder="1" applyAlignment="1">
      <alignment horizontal="center" vertical="center"/>
    </xf>
    <xf numFmtId="165" fontId="6" fillId="0" borderId="36" xfId="9" applyNumberFormat="1" applyFont="1" applyBorder="1" applyAlignment="1">
      <alignment horizontal="center" vertical="center"/>
    </xf>
    <xf numFmtId="165" fontId="6" fillId="0" borderId="38" xfId="5" applyNumberFormat="1" applyFont="1" applyBorder="1" applyAlignment="1">
      <alignment horizontal="center" vertical="center"/>
    </xf>
    <xf numFmtId="165" fontId="6" fillId="5" borderId="39" xfId="5" applyNumberFormat="1" applyFont="1" applyFill="1" applyBorder="1" applyAlignment="1">
      <alignment horizontal="center" vertical="center"/>
    </xf>
    <xf numFmtId="165" fontId="6" fillId="0" borderId="39" xfId="5" applyNumberFormat="1" applyFont="1" applyBorder="1" applyAlignment="1">
      <alignment horizontal="center" vertical="center"/>
    </xf>
    <xf numFmtId="165" fontId="6" fillId="5" borderId="40" xfId="5" applyNumberFormat="1" applyFont="1" applyFill="1" applyBorder="1" applyAlignment="1">
      <alignment horizontal="center" vertical="center"/>
    </xf>
    <xf numFmtId="165" fontId="6" fillId="0" borderId="38" xfId="9" applyNumberFormat="1" applyFont="1" applyBorder="1" applyAlignment="1">
      <alignment horizontal="center" vertical="center"/>
    </xf>
    <xf numFmtId="165" fontId="6" fillId="5" borderId="39" xfId="9" applyNumberFormat="1" applyFont="1" applyFill="1" applyBorder="1" applyAlignment="1">
      <alignment horizontal="center" vertical="center"/>
    </xf>
    <xf numFmtId="165" fontId="6" fillId="0" borderId="39" xfId="9" applyNumberFormat="1" applyFont="1" applyBorder="1" applyAlignment="1">
      <alignment horizontal="center" vertical="center"/>
    </xf>
    <xf numFmtId="165" fontId="6" fillId="0" borderId="40" xfId="9" applyNumberFormat="1" applyFont="1" applyBorder="1" applyAlignment="1">
      <alignment horizontal="center" vertical="center"/>
    </xf>
    <xf numFmtId="165" fontId="14" fillId="0" borderId="6" xfId="5" applyNumberFormat="1" applyFont="1" applyBorder="1" applyAlignment="1">
      <alignment horizontal="center" vertical="center"/>
    </xf>
    <xf numFmtId="165" fontId="14" fillId="5" borderId="4" xfId="5" applyNumberFormat="1" applyFont="1" applyFill="1" applyBorder="1" applyAlignment="1">
      <alignment horizontal="center" vertical="center"/>
    </xf>
    <xf numFmtId="165" fontId="14" fillId="0" borderId="4" xfId="5" applyNumberFormat="1" applyFont="1" applyBorder="1" applyAlignment="1">
      <alignment horizontal="center" vertical="center"/>
    </xf>
    <xf numFmtId="165" fontId="14" fillId="0" borderId="9" xfId="5" applyNumberFormat="1" applyFont="1" applyBorder="1" applyAlignment="1">
      <alignment horizontal="center" vertical="center"/>
    </xf>
    <xf numFmtId="165" fontId="14" fillId="5" borderId="11" xfId="5" applyNumberFormat="1" applyFont="1" applyFill="1" applyBorder="1" applyAlignment="1">
      <alignment horizontal="center" vertical="center"/>
    </xf>
    <xf numFmtId="165" fontId="14" fillId="0" borderId="11" xfId="5" applyNumberFormat="1" applyFont="1" applyBorder="1" applyAlignment="1">
      <alignment horizontal="center" vertical="center"/>
    </xf>
    <xf numFmtId="165" fontId="14" fillId="0" borderId="33" xfId="5" applyNumberFormat="1" applyFont="1" applyBorder="1" applyAlignment="1">
      <alignment horizontal="center" vertical="center"/>
    </xf>
    <xf numFmtId="165" fontId="14" fillId="5" borderId="34" xfId="5" applyNumberFormat="1" applyFont="1" applyFill="1" applyBorder="1" applyAlignment="1">
      <alignment horizontal="center" vertical="center"/>
    </xf>
    <xf numFmtId="165" fontId="14" fillId="0" borderId="34" xfId="5" applyNumberFormat="1" applyFont="1" applyBorder="1" applyAlignment="1">
      <alignment horizontal="center" vertical="center"/>
    </xf>
    <xf numFmtId="165" fontId="14" fillId="0" borderId="12" xfId="5" applyNumberFormat="1" applyFont="1" applyBorder="1" applyAlignment="1">
      <alignment horizontal="center" vertical="center"/>
    </xf>
    <xf numFmtId="165" fontId="14" fillId="0" borderId="14" xfId="5" applyNumberFormat="1" applyFont="1" applyBorder="1" applyAlignment="1">
      <alignment horizontal="center" vertical="center"/>
    </xf>
    <xf numFmtId="165" fontId="14" fillId="5" borderId="15" xfId="5" applyNumberFormat="1" applyFont="1" applyFill="1" applyBorder="1" applyAlignment="1">
      <alignment horizontal="center" vertical="center"/>
    </xf>
    <xf numFmtId="165" fontId="14" fillId="0" borderId="15" xfId="5" applyNumberFormat="1" applyFont="1" applyBorder="1" applyAlignment="1">
      <alignment horizontal="center" vertical="center"/>
    </xf>
    <xf numFmtId="165" fontId="14" fillId="0" borderId="22" xfId="5" applyNumberFormat="1" applyFont="1" applyBorder="1" applyAlignment="1">
      <alignment horizontal="center" vertical="center"/>
    </xf>
    <xf numFmtId="165" fontId="14" fillId="0" borderId="12" xfId="9" applyNumberFormat="1" applyFont="1" applyBorder="1" applyAlignment="1">
      <alignment horizontal="center"/>
    </xf>
    <xf numFmtId="165" fontId="14" fillId="0" borderId="22" xfId="9" applyNumberFormat="1" applyFont="1" applyBorder="1" applyAlignment="1">
      <alignment horizontal="center"/>
    </xf>
    <xf numFmtId="165" fontId="14" fillId="0" borderId="33" xfId="9" applyNumberFormat="1" applyFont="1" applyBorder="1" applyAlignment="1">
      <alignment horizontal="center"/>
    </xf>
    <xf numFmtId="165" fontId="14" fillId="0" borderId="14" xfId="9" applyNumberFormat="1" applyFont="1" applyBorder="1" applyAlignment="1">
      <alignment horizontal="center"/>
    </xf>
    <xf numFmtId="14" fontId="0" fillId="0" borderId="4" xfId="0" applyNumberFormat="1" applyBorder="1"/>
    <xf numFmtId="165" fontId="14" fillId="0" borderId="41" xfId="5" applyNumberFormat="1" applyFont="1" applyBorder="1" applyAlignment="1">
      <alignment horizontal="center" vertical="center"/>
    </xf>
    <xf numFmtId="165" fontId="14" fillId="0" borderId="42" xfId="5" applyNumberFormat="1" applyFont="1" applyBorder="1" applyAlignment="1">
      <alignment horizontal="center" vertical="center"/>
    </xf>
    <xf numFmtId="14" fontId="6" fillId="0" borderId="0" xfId="0" applyNumberFormat="1" applyFont="1"/>
    <xf numFmtId="0" fontId="4" fillId="0" borderId="0" xfId="0" applyFont="1"/>
    <xf numFmtId="164" fontId="6" fillId="0" borderId="0" xfId="0" applyNumberFormat="1" applyFont="1"/>
    <xf numFmtId="165" fontId="6" fillId="0" borderId="0" xfId="0" applyNumberFormat="1" applyFont="1"/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165" fontId="6" fillId="0" borderId="4" xfId="1" applyNumberFormat="1" applyFont="1" applyFill="1" applyBorder="1" applyAlignment="1">
      <alignment horizontal="center"/>
    </xf>
    <xf numFmtId="0" fontId="11" fillId="0" borderId="3" xfId="0" applyFont="1" applyBorder="1" applyProtection="1">
      <protection locked="0"/>
    </xf>
    <xf numFmtId="0" fontId="7" fillId="0" borderId="3" xfId="0" applyFont="1" applyBorder="1"/>
    <xf numFmtId="0" fontId="10" fillId="0" borderId="6" xfId="0" applyFont="1" applyBorder="1"/>
    <xf numFmtId="14" fontId="11" fillId="0" borderId="4" xfId="0" applyNumberFormat="1" applyFont="1" applyBorder="1"/>
    <xf numFmtId="0" fontId="5" fillId="0" borderId="4" xfId="5" applyFont="1" applyBorder="1"/>
    <xf numFmtId="9" fontId="11" fillId="0" borderId="6" xfId="4" applyFont="1" applyFill="1" applyBorder="1"/>
    <xf numFmtId="0" fontId="6" fillId="0" borderId="4" xfId="5" applyFont="1" applyBorder="1" applyProtection="1">
      <protection locked="0"/>
    </xf>
    <xf numFmtId="0" fontId="12" fillId="0" borderId="0" xfId="0" applyFont="1"/>
    <xf numFmtId="17" fontId="11" fillId="0" borderId="6" xfId="0" applyNumberFormat="1" applyFont="1" applyBorder="1"/>
    <xf numFmtId="17" fontId="11" fillId="0" borderId="9" xfId="0" applyNumberFormat="1" applyFont="1" applyBorder="1"/>
    <xf numFmtId="0" fontId="5" fillId="0" borderId="11" xfId="0" applyFont="1" applyBorder="1"/>
    <xf numFmtId="17" fontId="11" fillId="0" borderId="11" xfId="0" applyNumberFormat="1" applyFont="1" applyBorder="1"/>
    <xf numFmtId="0" fontId="5" fillId="0" borderId="5" xfId="0" applyFont="1" applyBorder="1"/>
    <xf numFmtId="165" fontId="6" fillId="0" borderId="13" xfId="1" applyNumberFormat="1" applyFont="1" applyFill="1" applyBorder="1" applyAlignment="1">
      <alignment horizontal="center"/>
    </xf>
    <xf numFmtId="165" fontId="8" fillId="0" borderId="13" xfId="0" applyNumberFormat="1" applyFont="1" applyBorder="1" applyAlignment="1">
      <alignment horizontal="center"/>
    </xf>
    <xf numFmtId="165" fontId="8" fillId="0" borderId="13" xfId="1" applyNumberFormat="1" applyFont="1" applyFill="1" applyBorder="1" applyAlignment="1">
      <alignment horizontal="center"/>
    </xf>
    <xf numFmtId="10" fontId="6" fillId="0" borderId="12" xfId="4" applyNumberFormat="1" applyFont="1" applyFill="1" applyBorder="1" applyAlignment="1">
      <alignment horizontal="center"/>
    </xf>
    <xf numFmtId="165" fontId="8" fillId="0" borderId="49" xfId="0" applyNumberFormat="1" applyFont="1" applyBorder="1" applyAlignment="1">
      <alignment horizontal="center"/>
    </xf>
    <xf numFmtId="165" fontId="5" fillId="2" borderId="25" xfId="0" applyNumberFormat="1" applyFont="1" applyFill="1" applyBorder="1" applyAlignment="1">
      <alignment horizontal="center"/>
    </xf>
    <xf numFmtId="165" fontId="5" fillId="0" borderId="24" xfId="0" applyNumberFormat="1" applyFont="1" applyBorder="1" applyAlignment="1">
      <alignment horizontal="center"/>
    </xf>
    <xf numFmtId="165" fontId="8" fillId="3" borderId="12" xfId="0" applyNumberFormat="1" applyFont="1" applyFill="1" applyBorder="1" applyAlignment="1">
      <alignment horizontal="right"/>
    </xf>
    <xf numFmtId="165" fontId="8" fillId="3" borderId="13" xfId="0" applyNumberFormat="1" applyFont="1" applyFill="1" applyBorder="1"/>
    <xf numFmtId="165" fontId="8" fillId="0" borderId="50" xfId="0" applyNumberFormat="1" applyFont="1" applyBorder="1" applyAlignment="1" applyProtection="1">
      <alignment horizontal="center"/>
      <protection locked="0"/>
    </xf>
    <xf numFmtId="165" fontId="5" fillId="0" borderId="34" xfId="0" applyNumberFormat="1" applyFont="1" applyBorder="1"/>
    <xf numFmtId="17" fontId="5" fillId="6" borderId="34" xfId="0" applyNumberFormat="1" applyFont="1" applyFill="1" applyBorder="1"/>
    <xf numFmtId="164" fontId="5" fillId="0" borderId="35" xfId="0" applyNumberFormat="1" applyFont="1" applyBorder="1"/>
    <xf numFmtId="164" fontId="5" fillId="0" borderId="16" xfId="0" applyNumberFormat="1" applyFont="1" applyBorder="1"/>
    <xf numFmtId="49" fontId="5" fillId="0" borderId="28" xfId="0" applyNumberFormat="1" applyFont="1" applyBorder="1" applyAlignment="1">
      <alignment horizontal="center"/>
    </xf>
    <xf numFmtId="17" fontId="5" fillId="0" borderId="29" xfId="0" applyNumberFormat="1" applyFont="1" applyBorder="1" applyAlignment="1">
      <alignment horizontal="center"/>
    </xf>
    <xf numFmtId="0" fontId="5" fillId="0" borderId="26" xfId="0" applyFont="1" applyBorder="1"/>
    <xf numFmtId="0" fontId="5" fillId="0" borderId="7" xfId="0" applyFont="1" applyBorder="1"/>
    <xf numFmtId="0" fontId="5" fillId="0" borderId="8" xfId="0" applyFont="1" applyBorder="1"/>
    <xf numFmtId="165" fontId="8" fillId="0" borderId="4" xfId="0" applyNumberFormat="1" applyFont="1" applyBorder="1" applyAlignment="1">
      <alignment horizontal="center"/>
    </xf>
    <xf numFmtId="164" fontId="8" fillId="0" borderId="13" xfId="0" applyNumberFormat="1" applyFont="1" applyBorder="1"/>
    <xf numFmtId="0" fontId="6" fillId="0" borderId="29" xfId="0" applyFon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49" fontId="5" fillId="0" borderId="2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43" xfId="0" applyNumberFormat="1" applyFont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 wrapText="1"/>
    </xf>
    <xf numFmtId="49" fontId="5" fillId="0" borderId="44" xfId="0" applyNumberFormat="1" applyFont="1" applyBorder="1" applyAlignment="1">
      <alignment horizontal="center" vertical="center" wrapText="1"/>
    </xf>
    <xf numFmtId="49" fontId="5" fillId="0" borderId="24" xfId="0" applyNumberFormat="1" applyFont="1" applyBorder="1" applyAlignment="1">
      <alignment horizontal="center" vertical="center" wrapText="1"/>
    </xf>
    <xf numFmtId="49" fontId="5" fillId="0" borderId="45" xfId="0" applyNumberFormat="1" applyFont="1" applyBorder="1" applyAlignment="1">
      <alignment horizontal="center" wrapText="1"/>
    </xf>
    <xf numFmtId="49" fontId="5" fillId="0" borderId="1" xfId="0" applyNumberFormat="1" applyFont="1" applyBorder="1" applyAlignment="1">
      <alignment horizontal="center" wrapText="1"/>
    </xf>
    <xf numFmtId="49" fontId="5" fillId="0" borderId="47" xfId="0" applyNumberFormat="1" applyFont="1" applyBorder="1" applyAlignment="1">
      <alignment horizontal="center" vertical="center" wrapText="1"/>
    </xf>
    <xf numFmtId="49" fontId="5" fillId="0" borderId="48" xfId="0" applyNumberFormat="1" applyFont="1" applyBorder="1" applyAlignment="1">
      <alignment horizontal="center" vertical="center" wrapText="1"/>
    </xf>
    <xf numFmtId="49" fontId="5" fillId="0" borderId="44" xfId="0" applyNumberFormat="1" applyFont="1" applyBorder="1" applyAlignment="1">
      <alignment horizontal="center" wrapText="1"/>
    </xf>
    <xf numFmtId="49" fontId="5" fillId="0" borderId="36" xfId="0" applyNumberFormat="1" applyFont="1" applyBorder="1" applyAlignment="1">
      <alignment horizontal="center" wrapText="1"/>
    </xf>
    <xf numFmtId="17" fontId="5" fillId="0" borderId="33" xfId="0" applyNumberFormat="1" applyFont="1" applyBorder="1" applyAlignment="1">
      <alignment horizontal="center"/>
    </xf>
    <xf numFmtId="17" fontId="5" fillId="0" borderId="34" xfId="0" applyNumberFormat="1" applyFont="1" applyBorder="1" applyAlignment="1">
      <alignment horizontal="center"/>
    </xf>
    <xf numFmtId="9" fontId="6" fillId="0" borderId="12" xfId="0" applyNumberFormat="1" applyFont="1" applyBorder="1" applyAlignment="1">
      <alignment horizontal="center"/>
    </xf>
    <xf numFmtId="9" fontId="8" fillId="0" borderId="4" xfId="0" applyNumberFormat="1" applyFont="1" applyBorder="1" applyAlignment="1">
      <alignment horizontal="center"/>
    </xf>
    <xf numFmtId="49" fontId="5" fillId="0" borderId="45" xfId="0" applyNumberFormat="1" applyFont="1" applyBorder="1" applyAlignment="1">
      <alignment horizontal="center" vertical="center" wrapText="1"/>
    </xf>
    <xf numFmtId="49" fontId="5" fillId="0" borderId="2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49" fontId="5" fillId="0" borderId="46" xfId="0" applyNumberFormat="1" applyFont="1" applyBorder="1" applyAlignment="1">
      <alignment horizontal="center"/>
    </xf>
    <xf numFmtId="49" fontId="5" fillId="0" borderId="31" xfId="0" applyNumberFormat="1" applyFont="1" applyBorder="1" applyAlignment="1">
      <alignment horizontal="center"/>
    </xf>
    <xf numFmtId="49" fontId="5" fillId="0" borderId="46" xfId="0" applyNumberFormat="1" applyFont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5" fillId="2" borderId="43" xfId="0" applyFont="1" applyFill="1" applyBorder="1" applyAlignment="1">
      <alignment horizontal="center" wrapText="1"/>
    </xf>
    <xf numFmtId="0" fontId="5" fillId="2" borderId="37" xfId="0" applyFont="1" applyFill="1" applyBorder="1" applyAlignment="1">
      <alignment horizontal="center" wrapText="1"/>
    </xf>
    <xf numFmtId="0" fontId="5" fillId="0" borderId="5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6" fillId="0" borderId="5" xfId="5" applyFont="1" applyBorder="1" applyAlignment="1" applyProtection="1">
      <alignment horizontal="center"/>
      <protection locked="0"/>
    </xf>
    <xf numFmtId="0" fontId="6" fillId="0" borderId="3" xfId="5" applyFont="1" applyBorder="1" applyAlignment="1" applyProtection="1">
      <alignment horizontal="center"/>
      <protection locked="0"/>
    </xf>
    <xf numFmtId="0" fontId="6" fillId="0" borderId="6" xfId="5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</cellXfs>
  <cellStyles count="13">
    <cellStyle name="Moeda" xfId="1" builtinId="4"/>
    <cellStyle name="Moeda 2" xfId="2" xr:uid="{00000000-0005-0000-0000-000001000000}"/>
    <cellStyle name="Moeda 2 2" xfId="9" xr:uid="{00000000-0005-0000-0000-000002000000}"/>
    <cellStyle name="Normal" xfId="0" builtinId="0"/>
    <cellStyle name="Normal 2" xfId="3" xr:uid="{00000000-0005-0000-0000-000004000000}"/>
    <cellStyle name="Normal 2 2" xfId="5" xr:uid="{00000000-0005-0000-0000-000005000000}"/>
    <cellStyle name="Normal 3" xfId="7" xr:uid="{00000000-0005-0000-0000-000006000000}"/>
    <cellStyle name="Normal 4" xfId="10" xr:uid="{AEC4A48B-ADDF-4DA2-8C53-12ECE36BA38F}"/>
    <cellStyle name="Normal 5" xfId="12" xr:uid="{3E5E12CF-9368-4B13-AFED-775156768877}"/>
    <cellStyle name="Porcentagem" xfId="4" builtinId="5"/>
    <cellStyle name="Porcentagem 2" xfId="6" xr:uid="{00000000-0005-0000-0000-000008000000}"/>
    <cellStyle name="Porcentagem 3" xfId="8" xr:uid="{00000000-0005-0000-0000-000009000000}"/>
    <cellStyle name="Porcentagem 4" xfId="11" xr:uid="{B756B405-A215-4E3D-8E3F-E128D37982C6}"/>
  </cellStyles>
  <dxfs count="0"/>
  <tableStyles count="0" defaultTableStyle="TableStyleMedium2" defaultPivotStyle="PivotStyleLight16"/>
  <colors>
    <mruColors>
      <color rgb="FFCCFFFF"/>
      <color rgb="FFFFFF99"/>
      <color rgb="FFFFC9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2"/>
  <dimension ref="A1:J505"/>
  <sheetViews>
    <sheetView topLeftCell="A337" workbookViewId="0">
      <selection activeCell="J341" sqref="J341"/>
    </sheetView>
  </sheetViews>
  <sheetFormatPr defaultRowHeight="12.75" x14ac:dyDescent="0.2"/>
  <cols>
    <col min="1" max="1" width="6.5703125" bestFit="1" customWidth="1"/>
    <col min="2" max="2" width="10" bestFit="1" customWidth="1"/>
    <col min="4" max="4" width="12.140625" bestFit="1" customWidth="1"/>
    <col min="5" max="5" width="6.5703125" bestFit="1" customWidth="1"/>
    <col min="6" max="6" width="13.42578125" customWidth="1"/>
  </cols>
  <sheetData>
    <row r="1" spans="1:10" x14ac:dyDescent="0.2">
      <c r="A1" s="198" t="s">
        <v>57</v>
      </c>
      <c r="B1" s="198"/>
      <c r="E1" s="199" t="s">
        <v>59</v>
      </c>
      <c r="F1" s="200"/>
      <c r="I1" s="199" t="s">
        <v>58</v>
      </c>
      <c r="J1" s="200"/>
    </row>
    <row r="2" spans="1:10" x14ac:dyDescent="0.2">
      <c r="A2" s="24">
        <v>34700</v>
      </c>
      <c r="B2" s="25">
        <v>6.5158234000000004</v>
      </c>
      <c r="D2" s="46"/>
      <c r="E2" s="24">
        <v>34700</v>
      </c>
      <c r="F2" s="25">
        <v>4.4651145999999997</v>
      </c>
      <c r="I2" s="24">
        <v>34700</v>
      </c>
      <c r="J2" s="25">
        <v>5.9996803999999999</v>
      </c>
    </row>
    <row r="3" spans="1:10" x14ac:dyDescent="0.2">
      <c r="A3" s="24">
        <v>34731</v>
      </c>
      <c r="B3" s="25">
        <v>6.4087965000000002</v>
      </c>
      <c r="E3" s="24">
        <v>34731</v>
      </c>
      <c r="F3" s="25">
        <v>4.4651145999999997</v>
      </c>
      <c r="I3" s="24">
        <v>34731</v>
      </c>
      <c r="J3" s="25">
        <v>5.9996803999999999</v>
      </c>
    </row>
    <row r="4" spans="1:10" x14ac:dyDescent="0.2">
      <c r="A4" s="24">
        <v>34759</v>
      </c>
      <c r="B4" s="25">
        <v>6.3459713000000004</v>
      </c>
      <c r="E4" s="24">
        <v>34759</v>
      </c>
      <c r="F4" s="25">
        <v>4.4651145999999997</v>
      </c>
      <c r="I4" s="24">
        <v>34759</v>
      </c>
      <c r="J4" s="25">
        <v>5.9996803999999999</v>
      </c>
    </row>
    <row r="5" spans="1:10" x14ac:dyDescent="0.2">
      <c r="A5" s="24">
        <v>34790</v>
      </c>
      <c r="B5" s="25">
        <v>6.2577372000000002</v>
      </c>
      <c r="E5" s="24">
        <v>34790</v>
      </c>
      <c r="F5" s="25">
        <v>4.2791999000000001</v>
      </c>
      <c r="I5" s="24">
        <v>34790</v>
      </c>
      <c r="J5" s="25">
        <v>5.7498706999999998</v>
      </c>
    </row>
    <row r="6" spans="1:10" x14ac:dyDescent="0.2">
      <c r="A6" s="24">
        <v>34820</v>
      </c>
      <c r="B6" s="25">
        <v>6.1398520999999997</v>
      </c>
      <c r="E6" s="24">
        <v>34820</v>
      </c>
      <c r="F6" s="25">
        <v>4.2791999000000001</v>
      </c>
      <c r="I6" s="24">
        <v>34820</v>
      </c>
      <c r="J6" s="25">
        <v>5.7498706999999998</v>
      </c>
    </row>
    <row r="7" spans="1:10" x14ac:dyDescent="0.2">
      <c r="A7" s="24">
        <v>34851</v>
      </c>
      <c r="B7" s="25">
        <v>5.9860116000000003</v>
      </c>
      <c r="E7" s="24">
        <v>34851</v>
      </c>
      <c r="F7" s="25">
        <v>4.2791999000000001</v>
      </c>
      <c r="I7" s="24">
        <v>34851</v>
      </c>
      <c r="J7" s="25">
        <v>5.7498706999999998</v>
      </c>
    </row>
    <row r="8" spans="1:10" x14ac:dyDescent="0.2">
      <c r="A8" s="24">
        <v>34881</v>
      </c>
      <c r="B8" s="25">
        <v>5.8790135000000001</v>
      </c>
      <c r="E8" s="24">
        <v>34881</v>
      </c>
      <c r="F8" s="25">
        <v>3.9946364999999999</v>
      </c>
      <c r="I8" s="24">
        <v>34881</v>
      </c>
      <c r="J8" s="25">
        <v>5.3675088999999998</v>
      </c>
    </row>
    <row r="9" spans="1:10" x14ac:dyDescent="0.2">
      <c r="A9" s="24">
        <v>34912</v>
      </c>
      <c r="B9" s="25">
        <v>5.7378621000000001</v>
      </c>
      <c r="E9" s="24">
        <v>34912</v>
      </c>
      <c r="F9" s="25">
        <v>3.9946364999999999</v>
      </c>
      <c r="I9" s="24">
        <v>34912</v>
      </c>
      <c r="J9" s="25">
        <v>5.3675088999999998</v>
      </c>
    </row>
    <row r="10" spans="1:10" x14ac:dyDescent="0.2">
      <c r="A10" s="24">
        <v>34943</v>
      </c>
      <c r="B10" s="25">
        <v>5.6799268999999999</v>
      </c>
      <c r="E10" s="24">
        <v>34943</v>
      </c>
      <c r="F10" s="25">
        <v>3.9946364999999999</v>
      </c>
      <c r="I10" s="24">
        <v>34943</v>
      </c>
      <c r="J10" s="25">
        <v>5.3675088999999998</v>
      </c>
    </row>
    <row r="11" spans="1:10" x14ac:dyDescent="0.2">
      <c r="A11" s="24">
        <v>34973</v>
      </c>
      <c r="B11" s="25">
        <v>5.6142402999999996</v>
      </c>
      <c r="E11" s="24">
        <v>34973</v>
      </c>
      <c r="F11" s="25">
        <v>3.7997271000000001</v>
      </c>
      <c r="I11" s="24">
        <v>34973</v>
      </c>
      <c r="J11" s="25">
        <v>5.1056132999999999</v>
      </c>
    </row>
    <row r="12" spans="1:10" x14ac:dyDescent="0.2">
      <c r="A12" s="24">
        <v>35004</v>
      </c>
      <c r="B12" s="25">
        <v>5.5367261000000001</v>
      </c>
      <c r="E12" s="24">
        <v>35004</v>
      </c>
      <c r="F12" s="25">
        <v>3.7997271000000001</v>
      </c>
      <c r="I12" s="24">
        <v>35004</v>
      </c>
      <c r="J12" s="25">
        <v>5.1056132999999999</v>
      </c>
    </row>
    <row r="13" spans="1:10" x14ac:dyDescent="0.2">
      <c r="A13" s="24">
        <v>35034</v>
      </c>
      <c r="B13" s="25">
        <v>5.4543651999999998</v>
      </c>
      <c r="E13" s="24">
        <v>35034</v>
      </c>
      <c r="F13" s="25">
        <v>3.7997271000000001</v>
      </c>
      <c r="I13" s="24">
        <v>35034</v>
      </c>
      <c r="J13" s="25">
        <v>5.1056132999999999</v>
      </c>
    </row>
    <row r="14" spans="1:10" x14ac:dyDescent="0.2">
      <c r="A14" s="24">
        <v>35065</v>
      </c>
      <c r="B14" s="25">
        <v>5.3658289999999997</v>
      </c>
      <c r="E14" s="24">
        <v>35065</v>
      </c>
      <c r="F14" s="25">
        <v>3.6461241000000002</v>
      </c>
      <c r="I14" s="24">
        <v>35065</v>
      </c>
      <c r="J14" s="25">
        <v>4.8992201</v>
      </c>
    </row>
    <row r="15" spans="1:10" x14ac:dyDescent="0.2">
      <c r="A15" s="24">
        <v>35096</v>
      </c>
      <c r="B15" s="25">
        <v>5.2886151999999997</v>
      </c>
      <c r="E15" s="24">
        <v>35096</v>
      </c>
      <c r="F15" s="25">
        <v>3.6461241000000002</v>
      </c>
      <c r="I15" s="24">
        <v>35096</v>
      </c>
      <c r="J15" s="25">
        <v>4.8992201</v>
      </c>
    </row>
    <row r="16" spans="1:10" x14ac:dyDescent="0.2">
      <c r="A16" s="24">
        <v>35125</v>
      </c>
      <c r="B16" s="25">
        <v>5.2513307999999999</v>
      </c>
      <c r="E16" s="24">
        <v>35125</v>
      </c>
      <c r="F16" s="25">
        <v>3.6461241000000002</v>
      </c>
      <c r="I16" s="24">
        <v>35125</v>
      </c>
      <c r="J16" s="25">
        <v>4.8992201</v>
      </c>
    </row>
    <row r="17" spans="1:10" x14ac:dyDescent="0.2">
      <c r="A17" s="24">
        <v>35156</v>
      </c>
      <c r="B17" s="25">
        <v>5.2361459999999997</v>
      </c>
      <c r="E17" s="24">
        <v>35156</v>
      </c>
      <c r="F17" s="25">
        <v>3.6461241000000002</v>
      </c>
      <c r="I17" s="24">
        <v>35156</v>
      </c>
      <c r="J17" s="25">
        <v>4.8992201</v>
      </c>
    </row>
    <row r="18" spans="1:10" x14ac:dyDescent="0.2">
      <c r="A18" s="24">
        <v>35186</v>
      </c>
      <c r="B18" s="25">
        <v>5.1878985000000002</v>
      </c>
      <c r="E18" s="24">
        <v>35186</v>
      </c>
      <c r="F18" s="25">
        <v>3.6461241000000002</v>
      </c>
      <c r="I18" s="24">
        <v>35186</v>
      </c>
      <c r="J18" s="25">
        <v>4.8992201</v>
      </c>
    </row>
    <row r="19" spans="1:10" x14ac:dyDescent="0.2">
      <c r="A19" s="24">
        <v>35217</v>
      </c>
      <c r="B19" s="25">
        <v>5.1223326</v>
      </c>
      <c r="E19" s="24">
        <v>35217</v>
      </c>
      <c r="F19" s="25">
        <v>3.6461241000000002</v>
      </c>
      <c r="I19" s="24">
        <v>35217</v>
      </c>
      <c r="J19" s="25">
        <v>4.8992201</v>
      </c>
    </row>
    <row r="20" spans="1:10" x14ac:dyDescent="0.2">
      <c r="A20" s="24">
        <v>35247</v>
      </c>
      <c r="B20" s="25">
        <v>5.0550997999999998</v>
      </c>
      <c r="E20" s="24">
        <v>35247</v>
      </c>
      <c r="F20" s="25">
        <v>3.4153305999999999</v>
      </c>
      <c r="I20" s="24">
        <v>35247</v>
      </c>
      <c r="J20" s="25">
        <v>4.5891079000000001</v>
      </c>
    </row>
    <row r="21" spans="1:10" x14ac:dyDescent="0.2">
      <c r="A21" s="24">
        <v>35278</v>
      </c>
      <c r="B21" s="25">
        <v>4.9951578999999997</v>
      </c>
      <c r="E21" s="24">
        <v>35278</v>
      </c>
      <c r="F21" s="25">
        <v>3.4153305999999999</v>
      </c>
      <c r="I21" s="24">
        <v>35278</v>
      </c>
      <c r="J21" s="25">
        <v>4.5891079000000001</v>
      </c>
    </row>
    <row r="22" spans="1:10" x14ac:dyDescent="0.2">
      <c r="A22" s="24">
        <v>35309</v>
      </c>
      <c r="B22" s="25">
        <v>4.9703064000000001</v>
      </c>
      <c r="E22" s="24">
        <v>35309</v>
      </c>
      <c r="F22" s="25">
        <v>3.4153305999999999</v>
      </c>
      <c r="I22" s="24">
        <v>35309</v>
      </c>
      <c r="J22" s="25">
        <v>4.5891079000000001</v>
      </c>
    </row>
    <row r="23" spans="1:10" x14ac:dyDescent="0.2">
      <c r="A23" s="24">
        <v>35339</v>
      </c>
      <c r="B23" s="25">
        <v>4.9693125</v>
      </c>
      <c r="E23" s="24">
        <v>35339</v>
      </c>
      <c r="F23" s="25">
        <v>3.4153305999999999</v>
      </c>
      <c r="I23" s="24">
        <v>35339</v>
      </c>
      <c r="J23" s="25">
        <v>4.5891079000000001</v>
      </c>
    </row>
    <row r="24" spans="1:10" x14ac:dyDescent="0.2">
      <c r="A24" s="24">
        <v>35370</v>
      </c>
      <c r="B24" s="25">
        <v>4.9505005999999998</v>
      </c>
      <c r="E24" s="24">
        <v>35370</v>
      </c>
      <c r="F24" s="25">
        <v>3.4153305999999999</v>
      </c>
      <c r="I24" s="24">
        <v>35370</v>
      </c>
      <c r="J24" s="25">
        <v>4.5891079000000001</v>
      </c>
    </row>
    <row r="25" spans="1:10" x14ac:dyDescent="0.2">
      <c r="A25" s="24">
        <v>35400</v>
      </c>
      <c r="B25" s="25">
        <v>4.9337260000000001</v>
      </c>
      <c r="E25" s="24">
        <v>35400</v>
      </c>
      <c r="F25" s="25">
        <v>3.4153305999999999</v>
      </c>
      <c r="I25" s="24">
        <v>35400</v>
      </c>
      <c r="J25" s="25">
        <v>4.5891079000000001</v>
      </c>
    </row>
    <row r="26" spans="1:10" x14ac:dyDescent="0.2">
      <c r="A26" s="24">
        <v>35431</v>
      </c>
      <c r="B26" s="25">
        <v>4.9174981999999998</v>
      </c>
      <c r="E26" s="24">
        <v>35431</v>
      </c>
      <c r="F26" s="25">
        <v>3.3174605000000001</v>
      </c>
      <c r="I26" s="24">
        <v>35431</v>
      </c>
      <c r="J26" s="25">
        <v>4.4576017999999999</v>
      </c>
    </row>
    <row r="27" spans="1:10" x14ac:dyDescent="0.2">
      <c r="A27" s="24">
        <v>35462</v>
      </c>
      <c r="B27" s="25">
        <v>4.8779864999999996</v>
      </c>
      <c r="E27" s="24">
        <v>35462</v>
      </c>
      <c r="F27" s="25">
        <v>3.3174605000000001</v>
      </c>
      <c r="I27" s="24">
        <v>35462</v>
      </c>
      <c r="J27" s="25">
        <v>4.4576017999999999</v>
      </c>
    </row>
    <row r="28" spans="1:10" x14ac:dyDescent="0.2">
      <c r="A28" s="24">
        <v>35490</v>
      </c>
      <c r="B28" s="25">
        <v>4.8561338999999997</v>
      </c>
      <c r="E28" s="24">
        <v>35490</v>
      </c>
      <c r="F28" s="25">
        <v>3.3174605000000001</v>
      </c>
      <c r="I28" s="24">
        <v>35490</v>
      </c>
      <c r="J28" s="25">
        <v>4.4576017999999999</v>
      </c>
    </row>
    <row r="29" spans="1:10" x14ac:dyDescent="0.2">
      <c r="A29" s="24">
        <v>35521</v>
      </c>
      <c r="B29" s="25">
        <v>4.8233351999999998</v>
      </c>
      <c r="E29" s="24">
        <v>35521</v>
      </c>
      <c r="F29" s="25">
        <v>3.3174605000000001</v>
      </c>
      <c r="I29" s="24">
        <v>35521</v>
      </c>
      <c r="J29" s="25">
        <v>4.4576017999999999</v>
      </c>
    </row>
    <row r="30" spans="1:10" x14ac:dyDescent="0.2">
      <c r="A30" s="24">
        <v>35551</v>
      </c>
      <c r="B30" s="25">
        <v>4.7945678000000003</v>
      </c>
      <c r="E30" s="24">
        <v>35551</v>
      </c>
      <c r="F30" s="25">
        <v>3.3174605000000001</v>
      </c>
      <c r="I30" s="24">
        <v>35551</v>
      </c>
      <c r="J30" s="25">
        <v>4.4576017999999999</v>
      </c>
    </row>
    <row r="31" spans="1:10" x14ac:dyDescent="0.2">
      <c r="A31" s="24">
        <v>35582</v>
      </c>
      <c r="B31" s="25">
        <v>4.7892995999999997</v>
      </c>
      <c r="E31" s="24">
        <v>35582</v>
      </c>
      <c r="F31" s="25">
        <v>3.3174605000000001</v>
      </c>
      <c r="I31" s="24">
        <v>35582</v>
      </c>
      <c r="J31" s="25">
        <v>4.4576017999999999</v>
      </c>
    </row>
    <row r="32" spans="1:10" x14ac:dyDescent="0.2">
      <c r="A32" s="24">
        <v>35612</v>
      </c>
      <c r="B32" s="25">
        <v>4.7725955000000004</v>
      </c>
      <c r="E32" s="24">
        <v>35612</v>
      </c>
      <c r="F32" s="25">
        <v>3.3174605000000001</v>
      </c>
      <c r="I32" s="24">
        <v>35612</v>
      </c>
      <c r="J32" s="25">
        <v>4.4576017999999999</v>
      </c>
    </row>
    <row r="33" spans="1:10" x14ac:dyDescent="0.2">
      <c r="A33" s="24">
        <v>35643</v>
      </c>
      <c r="B33" s="25">
        <v>4.7640203000000003</v>
      </c>
      <c r="E33" s="24">
        <v>35643</v>
      </c>
      <c r="F33" s="25">
        <v>3.3174605000000001</v>
      </c>
      <c r="I33" s="24">
        <v>35643</v>
      </c>
      <c r="J33" s="25">
        <v>4.4576017999999999</v>
      </c>
    </row>
    <row r="34" spans="1:10" x14ac:dyDescent="0.2">
      <c r="A34" s="24">
        <v>35674</v>
      </c>
      <c r="B34" s="25">
        <v>4.7654499000000001</v>
      </c>
      <c r="E34" s="24">
        <v>35674</v>
      </c>
      <c r="F34" s="25">
        <v>3.3174605000000001</v>
      </c>
      <c r="I34" s="24">
        <v>35674</v>
      </c>
      <c r="J34" s="25">
        <v>4.4576017999999999</v>
      </c>
    </row>
    <row r="35" spans="1:10" x14ac:dyDescent="0.2">
      <c r="A35" s="24">
        <v>35704</v>
      </c>
      <c r="B35" s="25">
        <v>4.7606891999999998</v>
      </c>
      <c r="E35" s="24">
        <v>35704</v>
      </c>
      <c r="F35" s="25">
        <v>3.3174605000000001</v>
      </c>
      <c r="I35" s="24">
        <v>35704</v>
      </c>
      <c r="J35" s="25">
        <v>4.4576017999999999</v>
      </c>
    </row>
    <row r="36" spans="1:10" x14ac:dyDescent="0.2">
      <c r="A36" s="24">
        <v>35735</v>
      </c>
      <c r="B36" s="25">
        <v>4.7469231000000001</v>
      </c>
      <c r="E36" s="24">
        <v>35735</v>
      </c>
      <c r="F36" s="25">
        <v>3.3174605000000001</v>
      </c>
      <c r="I36" s="24">
        <v>35735</v>
      </c>
      <c r="J36" s="25">
        <v>4.4576017999999999</v>
      </c>
    </row>
    <row r="37" spans="1:10" x14ac:dyDescent="0.2">
      <c r="A37" s="24">
        <v>35765</v>
      </c>
      <c r="B37" s="25">
        <v>4.7398134000000001</v>
      </c>
      <c r="E37" s="24">
        <v>35765</v>
      </c>
      <c r="F37" s="25">
        <v>3.3174605000000001</v>
      </c>
      <c r="I37" s="24">
        <v>35765</v>
      </c>
      <c r="J37" s="25">
        <v>4.4576017999999999</v>
      </c>
    </row>
    <row r="38" spans="1:10" x14ac:dyDescent="0.2">
      <c r="A38" s="24">
        <v>35796</v>
      </c>
      <c r="B38" s="25">
        <v>4.7129496</v>
      </c>
      <c r="E38" s="24">
        <v>35796</v>
      </c>
      <c r="F38" s="25">
        <v>3.1438383000000001</v>
      </c>
      <c r="I38" s="24">
        <v>35796</v>
      </c>
      <c r="J38" s="25">
        <v>4.2243094000000001</v>
      </c>
    </row>
    <row r="39" spans="1:10" x14ac:dyDescent="0.2">
      <c r="A39" s="24">
        <v>35827</v>
      </c>
      <c r="B39" s="25">
        <v>4.6732272000000004</v>
      </c>
      <c r="E39" s="24">
        <v>35827</v>
      </c>
      <c r="F39" s="25">
        <v>3.1438383000000001</v>
      </c>
      <c r="I39" s="24">
        <v>35827</v>
      </c>
      <c r="J39" s="25">
        <v>4.2243094000000001</v>
      </c>
    </row>
    <row r="40" spans="1:10" x14ac:dyDescent="0.2">
      <c r="A40" s="24">
        <v>35855</v>
      </c>
      <c r="B40" s="25">
        <v>4.6481272999999996</v>
      </c>
      <c r="E40" s="24">
        <v>35855</v>
      </c>
      <c r="F40" s="25">
        <v>3.1438383000000001</v>
      </c>
      <c r="I40" s="24">
        <v>35855</v>
      </c>
      <c r="J40" s="25">
        <v>4.2243094000000001</v>
      </c>
    </row>
    <row r="41" spans="1:10" x14ac:dyDescent="0.2">
      <c r="A41" s="24">
        <v>35886</v>
      </c>
      <c r="B41" s="25">
        <v>4.6254625000000003</v>
      </c>
      <c r="E41" s="24">
        <v>35886</v>
      </c>
      <c r="F41" s="25">
        <v>3.1438383000000001</v>
      </c>
      <c r="I41" s="24">
        <v>35886</v>
      </c>
      <c r="J41" s="25">
        <v>4.2243094000000001</v>
      </c>
    </row>
    <row r="42" spans="1:10" x14ac:dyDescent="0.2">
      <c r="A42" s="24">
        <v>35916</v>
      </c>
      <c r="B42" s="25">
        <v>4.6047412000000003</v>
      </c>
      <c r="E42" s="24">
        <v>35916</v>
      </c>
      <c r="F42" s="25">
        <v>3.1438383000000001</v>
      </c>
      <c r="I42" s="24">
        <v>35916</v>
      </c>
      <c r="J42" s="25">
        <v>4.2243094000000001</v>
      </c>
    </row>
    <row r="43" spans="1:10" x14ac:dyDescent="0.2">
      <c r="A43" s="24">
        <v>35947</v>
      </c>
      <c r="B43" s="25">
        <v>4.5718240999999997</v>
      </c>
      <c r="E43" s="24">
        <v>35947</v>
      </c>
      <c r="F43" s="25">
        <v>3.1438383000000001</v>
      </c>
      <c r="I43" s="24">
        <v>35947</v>
      </c>
      <c r="J43" s="25">
        <v>4.2243094000000001</v>
      </c>
    </row>
    <row r="44" spans="1:10" x14ac:dyDescent="0.2">
      <c r="A44" s="24">
        <v>35977</v>
      </c>
      <c r="B44" s="25">
        <v>4.5649765999999996</v>
      </c>
      <c r="E44" s="24">
        <v>35977</v>
      </c>
      <c r="F44" s="25">
        <v>3.1438383000000001</v>
      </c>
      <c r="I44" s="24">
        <v>35977</v>
      </c>
      <c r="J44" s="25">
        <v>4.2243094000000001</v>
      </c>
    </row>
    <row r="45" spans="1:10" x14ac:dyDescent="0.2">
      <c r="A45" s="24">
        <v>36008</v>
      </c>
      <c r="B45" s="25">
        <v>4.5777944000000002</v>
      </c>
      <c r="E45" s="24">
        <v>36008</v>
      </c>
      <c r="F45" s="25">
        <v>3.1438383000000001</v>
      </c>
      <c r="I45" s="24">
        <v>36008</v>
      </c>
      <c r="J45" s="25">
        <v>4.2243094000000001</v>
      </c>
    </row>
    <row r="46" spans="1:10" x14ac:dyDescent="0.2">
      <c r="A46" s="24">
        <v>36039</v>
      </c>
      <c r="B46" s="25">
        <v>4.6003360999999998</v>
      </c>
      <c r="E46" s="24">
        <v>36039</v>
      </c>
      <c r="F46" s="25">
        <v>3.1438383000000001</v>
      </c>
      <c r="I46" s="24">
        <v>36039</v>
      </c>
      <c r="J46" s="25">
        <v>4.2243094000000001</v>
      </c>
    </row>
    <row r="47" spans="1:10" x14ac:dyDescent="0.2">
      <c r="A47" s="24">
        <v>36069</v>
      </c>
      <c r="B47" s="25">
        <v>4.6146415000000003</v>
      </c>
      <c r="E47" s="24">
        <v>36069</v>
      </c>
      <c r="F47" s="25">
        <v>3.1438383000000001</v>
      </c>
      <c r="I47" s="24">
        <v>36069</v>
      </c>
      <c r="J47" s="25">
        <v>4.2243094000000001</v>
      </c>
    </row>
    <row r="48" spans="1:10" x14ac:dyDescent="0.2">
      <c r="A48" s="24">
        <v>36100</v>
      </c>
      <c r="B48" s="25">
        <v>4.6095708999999996</v>
      </c>
      <c r="E48" s="24">
        <v>36100</v>
      </c>
      <c r="F48" s="25">
        <v>3.1438383000000001</v>
      </c>
      <c r="I48" s="24">
        <v>36100</v>
      </c>
      <c r="J48" s="25">
        <v>4.2243094000000001</v>
      </c>
    </row>
    <row r="49" spans="1:10" x14ac:dyDescent="0.2">
      <c r="A49" s="24">
        <v>36130</v>
      </c>
      <c r="B49" s="25">
        <v>4.6178831000000002</v>
      </c>
      <c r="E49" s="24">
        <v>36130</v>
      </c>
      <c r="F49" s="25">
        <v>3.1438383000000001</v>
      </c>
      <c r="I49" s="24">
        <v>36130</v>
      </c>
      <c r="J49" s="25">
        <v>4.2243094000000001</v>
      </c>
    </row>
    <row r="50" spans="1:10" x14ac:dyDescent="0.2">
      <c r="A50" s="24">
        <v>36161</v>
      </c>
      <c r="B50" s="25">
        <v>4.5985690999999997</v>
      </c>
      <c r="E50" s="24">
        <v>36161</v>
      </c>
      <c r="F50" s="25">
        <v>3.0926745000000002</v>
      </c>
      <c r="I50" s="24">
        <v>36161</v>
      </c>
      <c r="J50" s="25">
        <v>4.1555616000000004</v>
      </c>
    </row>
    <row r="51" spans="1:10" x14ac:dyDescent="0.2">
      <c r="A51" s="24">
        <v>36192</v>
      </c>
      <c r="B51" s="25">
        <v>4.5688715000000002</v>
      </c>
      <c r="E51" s="24">
        <v>36192</v>
      </c>
      <c r="F51" s="25">
        <v>3.0926745000000002</v>
      </c>
      <c r="I51" s="24">
        <v>36192</v>
      </c>
      <c r="J51" s="25">
        <v>4.1555616000000004</v>
      </c>
    </row>
    <row r="52" spans="1:10" x14ac:dyDescent="0.2">
      <c r="A52" s="24">
        <v>36220</v>
      </c>
      <c r="B52" s="25">
        <v>4.5106836000000001</v>
      </c>
      <c r="E52" s="24">
        <v>36220</v>
      </c>
      <c r="F52" s="25">
        <v>3.0926745000000002</v>
      </c>
      <c r="I52" s="24">
        <v>36220</v>
      </c>
      <c r="J52" s="25">
        <v>4.1555616000000004</v>
      </c>
    </row>
    <row r="53" spans="1:10" x14ac:dyDescent="0.2">
      <c r="A53" s="24">
        <v>36251</v>
      </c>
      <c r="B53" s="25">
        <v>4.4536765999999997</v>
      </c>
      <c r="E53" s="24">
        <v>36251</v>
      </c>
      <c r="F53" s="25">
        <v>3.0926745000000002</v>
      </c>
      <c r="I53" s="24">
        <v>36251</v>
      </c>
      <c r="J53" s="25">
        <v>4.1555616000000004</v>
      </c>
    </row>
    <row r="54" spans="1:10" x14ac:dyDescent="0.2">
      <c r="A54" s="24">
        <v>36281</v>
      </c>
      <c r="B54" s="25">
        <v>4.4328421999999996</v>
      </c>
      <c r="E54" s="24">
        <v>36281</v>
      </c>
      <c r="F54" s="25">
        <v>3.0926745000000002</v>
      </c>
      <c r="I54" s="24">
        <v>36281</v>
      </c>
      <c r="J54" s="25">
        <v>4.1555616000000004</v>
      </c>
    </row>
    <row r="55" spans="1:10" x14ac:dyDescent="0.2">
      <c r="A55" s="24">
        <v>36312</v>
      </c>
      <c r="B55" s="25">
        <v>4.4306269</v>
      </c>
      <c r="E55" s="24">
        <v>36312</v>
      </c>
      <c r="F55" s="25">
        <v>3.0926745000000002</v>
      </c>
      <c r="I55" s="24">
        <v>36312</v>
      </c>
      <c r="J55" s="25">
        <v>4.1555616000000004</v>
      </c>
    </row>
    <row r="56" spans="1:10" x14ac:dyDescent="0.2">
      <c r="A56" s="24">
        <v>36342</v>
      </c>
      <c r="B56" s="25">
        <v>4.4275276000000003</v>
      </c>
      <c r="E56" s="24">
        <v>36342</v>
      </c>
      <c r="F56" s="25">
        <v>3.0926745000000002</v>
      </c>
      <c r="I56" s="24">
        <v>36342</v>
      </c>
      <c r="J56" s="25">
        <v>4.1555616000000004</v>
      </c>
    </row>
    <row r="57" spans="1:10" x14ac:dyDescent="0.2">
      <c r="A57" s="24">
        <v>36373</v>
      </c>
      <c r="B57" s="25">
        <v>4.3950046</v>
      </c>
      <c r="E57" s="24">
        <v>36373</v>
      </c>
      <c r="F57" s="25">
        <v>3.0926745000000002</v>
      </c>
      <c r="I57" s="24">
        <v>36373</v>
      </c>
      <c r="J57" s="25">
        <v>4.1555616000000004</v>
      </c>
    </row>
    <row r="58" spans="1:10" x14ac:dyDescent="0.2">
      <c r="A58" s="24">
        <v>36404</v>
      </c>
      <c r="B58" s="25">
        <v>4.3709642999999998</v>
      </c>
      <c r="E58" s="24">
        <v>36404</v>
      </c>
      <c r="F58" s="25">
        <v>3.0926745000000002</v>
      </c>
      <c r="I58" s="24">
        <v>36404</v>
      </c>
      <c r="J58" s="25">
        <v>4.1555616000000004</v>
      </c>
    </row>
    <row r="59" spans="1:10" x14ac:dyDescent="0.2">
      <c r="A59" s="24">
        <v>36434</v>
      </c>
      <c r="B59" s="25">
        <v>4.3539838</v>
      </c>
      <c r="E59" s="24">
        <v>36434</v>
      </c>
      <c r="F59" s="25">
        <v>3.0926745000000002</v>
      </c>
      <c r="I59" s="24">
        <v>36434</v>
      </c>
      <c r="J59" s="25">
        <v>4.1555616000000004</v>
      </c>
    </row>
    <row r="60" spans="1:10" x14ac:dyDescent="0.2">
      <c r="A60" s="24">
        <v>36465</v>
      </c>
      <c r="B60" s="25">
        <v>4.3125830000000001</v>
      </c>
      <c r="E60" s="24">
        <v>36465</v>
      </c>
      <c r="F60" s="25">
        <v>3.0926745000000002</v>
      </c>
      <c r="I60" s="24">
        <v>36465</v>
      </c>
      <c r="J60" s="25">
        <v>4.1555616000000004</v>
      </c>
    </row>
    <row r="61" spans="1:10" x14ac:dyDescent="0.2">
      <c r="A61" s="24">
        <v>36495</v>
      </c>
      <c r="B61" s="25">
        <v>4.2724222000000003</v>
      </c>
      <c r="E61" s="24">
        <v>36495</v>
      </c>
      <c r="F61" s="25">
        <v>3.0926745000000002</v>
      </c>
      <c r="I61" s="24">
        <v>36495</v>
      </c>
      <c r="J61" s="25">
        <v>4.1555616000000004</v>
      </c>
    </row>
    <row r="62" spans="1:10" x14ac:dyDescent="0.2">
      <c r="A62" s="24">
        <v>36526</v>
      </c>
      <c r="B62" s="25">
        <v>4.2410385000000002</v>
      </c>
      <c r="E62" s="24">
        <v>36526</v>
      </c>
      <c r="F62" s="25">
        <v>2.8395291999999999</v>
      </c>
      <c r="I62" s="24">
        <v>36526</v>
      </c>
      <c r="J62" s="25">
        <v>3.8154156000000001</v>
      </c>
    </row>
    <row r="63" spans="1:10" x14ac:dyDescent="0.2">
      <c r="A63" s="24">
        <v>36557</v>
      </c>
      <c r="B63" s="25">
        <v>4.215325</v>
      </c>
      <c r="E63" s="24">
        <v>36557</v>
      </c>
      <c r="F63" s="25">
        <v>2.8395291999999999</v>
      </c>
      <c r="I63" s="24">
        <v>36557</v>
      </c>
      <c r="J63" s="25">
        <v>3.8154156000000001</v>
      </c>
    </row>
    <row r="64" spans="1:10" x14ac:dyDescent="0.2">
      <c r="A64" s="24">
        <v>36586</v>
      </c>
      <c r="B64" s="25">
        <v>4.2132183999999997</v>
      </c>
      <c r="E64" s="24">
        <v>36586</v>
      </c>
      <c r="F64" s="25">
        <v>2.8395291999999999</v>
      </c>
      <c r="I64" s="24">
        <v>36586</v>
      </c>
      <c r="J64" s="25">
        <v>3.8154156000000001</v>
      </c>
    </row>
    <row r="65" spans="1:10" x14ac:dyDescent="0.2">
      <c r="A65" s="24">
        <v>36617</v>
      </c>
      <c r="B65" s="25">
        <v>4.2077483999999998</v>
      </c>
      <c r="E65" s="24">
        <v>36617</v>
      </c>
      <c r="F65" s="25">
        <v>2.8395291999999999</v>
      </c>
      <c r="I65" s="24">
        <v>36617</v>
      </c>
      <c r="J65" s="25">
        <v>3.8154156000000001</v>
      </c>
    </row>
    <row r="66" spans="1:10" x14ac:dyDescent="0.2">
      <c r="A66" s="24">
        <v>36647</v>
      </c>
      <c r="B66" s="25">
        <v>4.2039647999999996</v>
      </c>
      <c r="E66" s="24">
        <v>36647</v>
      </c>
      <c r="F66" s="25">
        <v>2.8395291999999999</v>
      </c>
      <c r="I66" s="24">
        <v>36647</v>
      </c>
      <c r="J66" s="25">
        <v>3.8154156000000001</v>
      </c>
    </row>
    <row r="67" spans="1:10" x14ac:dyDescent="0.2">
      <c r="A67" s="24">
        <v>36678</v>
      </c>
      <c r="B67" s="25">
        <v>4.2060677999999996</v>
      </c>
      <c r="E67" s="24">
        <v>36678</v>
      </c>
      <c r="F67" s="25">
        <v>2.8395291999999999</v>
      </c>
      <c r="I67" s="24">
        <v>36678</v>
      </c>
      <c r="J67" s="25">
        <v>3.8154156000000001</v>
      </c>
    </row>
    <row r="68" spans="1:10" x14ac:dyDescent="0.2">
      <c r="A68" s="24">
        <v>36708</v>
      </c>
      <c r="B68" s="25">
        <v>4.1934874000000004</v>
      </c>
      <c r="E68" s="24">
        <v>36708</v>
      </c>
      <c r="F68" s="25">
        <v>2.8395291999999999</v>
      </c>
      <c r="I68" s="24">
        <v>36708</v>
      </c>
      <c r="J68" s="25">
        <v>3.8154156000000001</v>
      </c>
    </row>
    <row r="69" spans="1:10" x14ac:dyDescent="0.2">
      <c r="A69" s="24">
        <v>36739</v>
      </c>
      <c r="B69" s="25">
        <v>4.1359969999999997</v>
      </c>
      <c r="E69" s="24">
        <v>36739</v>
      </c>
      <c r="F69" s="25">
        <v>2.8395291999999999</v>
      </c>
      <c r="I69" s="24">
        <v>36739</v>
      </c>
      <c r="J69" s="25">
        <v>3.8154156000000001</v>
      </c>
    </row>
    <row r="70" spans="1:10" x14ac:dyDescent="0.2">
      <c r="A70" s="24">
        <v>36770</v>
      </c>
      <c r="B70" s="25">
        <v>4.0865497</v>
      </c>
      <c r="E70" s="24">
        <v>36770</v>
      </c>
      <c r="F70" s="25">
        <v>2.8395291999999999</v>
      </c>
      <c r="I70" s="24">
        <v>36770</v>
      </c>
      <c r="J70" s="25">
        <v>3.8154156000000001</v>
      </c>
    </row>
    <row r="71" spans="1:10" x14ac:dyDescent="0.2">
      <c r="A71" s="24">
        <v>36800</v>
      </c>
      <c r="B71" s="25">
        <v>4.0690527999999997</v>
      </c>
      <c r="E71" s="24">
        <v>36800</v>
      </c>
      <c r="F71" s="25">
        <v>2.8395291999999999</v>
      </c>
      <c r="I71" s="24">
        <v>36800</v>
      </c>
      <c r="J71" s="25">
        <v>3.8154156000000001</v>
      </c>
    </row>
    <row r="72" spans="1:10" x14ac:dyDescent="0.2">
      <c r="A72" s="24">
        <v>36831</v>
      </c>
      <c r="B72" s="25">
        <v>4.0625527000000003</v>
      </c>
      <c r="E72" s="24">
        <v>36831</v>
      </c>
      <c r="F72" s="25">
        <v>2.8395291999999999</v>
      </c>
      <c r="I72" s="24">
        <v>36831</v>
      </c>
      <c r="J72" s="25">
        <v>3.8154156000000001</v>
      </c>
    </row>
    <row r="73" spans="1:10" x14ac:dyDescent="0.2">
      <c r="A73" s="24">
        <v>36861</v>
      </c>
      <c r="B73" s="25">
        <v>4.0508053999999998</v>
      </c>
      <c r="E73" s="24">
        <v>36861</v>
      </c>
      <c r="F73" s="25">
        <v>2.8395291999999999</v>
      </c>
      <c r="I73" s="24">
        <v>36861</v>
      </c>
      <c r="J73" s="25">
        <v>3.8154156000000001</v>
      </c>
    </row>
    <row r="74" spans="1:10" x14ac:dyDescent="0.2">
      <c r="A74" s="24">
        <v>36892</v>
      </c>
      <c r="B74" s="25">
        <v>4.0286477999999999</v>
      </c>
      <c r="E74" s="24">
        <v>36892</v>
      </c>
      <c r="F74" s="25">
        <v>2.6779028999999999</v>
      </c>
      <c r="I74" s="24">
        <v>36892</v>
      </c>
      <c r="J74" s="25">
        <v>3.5982417</v>
      </c>
    </row>
    <row r="75" spans="1:10" x14ac:dyDescent="0.2">
      <c r="A75" s="24">
        <v>36923</v>
      </c>
      <c r="B75" s="25">
        <v>3.9978642999999998</v>
      </c>
      <c r="E75" s="24">
        <v>36923</v>
      </c>
      <c r="F75" s="25">
        <v>2.6611376999999998</v>
      </c>
      <c r="I75" s="24">
        <v>36923</v>
      </c>
      <c r="J75" s="25">
        <v>3.5757146999999998</v>
      </c>
    </row>
    <row r="76" spans="1:10" x14ac:dyDescent="0.2">
      <c r="A76" s="24">
        <v>36951</v>
      </c>
      <c r="B76" s="25">
        <v>3.9783702999999999</v>
      </c>
      <c r="E76" s="24">
        <v>36951</v>
      </c>
      <c r="F76" s="25">
        <v>2.6478982000000002</v>
      </c>
      <c r="I76" s="24">
        <v>36951</v>
      </c>
      <c r="J76" s="25">
        <v>3.557925</v>
      </c>
    </row>
    <row r="77" spans="1:10" x14ac:dyDescent="0.2">
      <c r="A77" s="24">
        <v>36982</v>
      </c>
      <c r="B77" s="25">
        <v>3.9593653</v>
      </c>
      <c r="E77" s="24">
        <v>36982</v>
      </c>
      <c r="F77" s="25">
        <v>2.6383999999999999</v>
      </c>
      <c r="I77" s="24">
        <v>36982</v>
      </c>
      <c r="J77" s="25">
        <v>3.5451624000000002</v>
      </c>
    </row>
    <row r="78" spans="1:10" x14ac:dyDescent="0.2">
      <c r="A78" s="24">
        <v>37012</v>
      </c>
      <c r="B78" s="25">
        <v>3.9263837000000001</v>
      </c>
      <c r="E78" s="24">
        <v>37012</v>
      </c>
      <c r="F78" s="25">
        <v>2.6252735999999999</v>
      </c>
      <c r="I78" s="24">
        <v>37012</v>
      </c>
      <c r="J78" s="25">
        <v>3.5275248000000001</v>
      </c>
    </row>
    <row r="79" spans="1:10" x14ac:dyDescent="0.2">
      <c r="A79" s="24">
        <v>37043</v>
      </c>
      <c r="B79" s="25">
        <v>3.9041301000000002</v>
      </c>
      <c r="E79" s="24">
        <v>37043</v>
      </c>
      <c r="F79" s="25">
        <v>2.6124725</v>
      </c>
      <c r="I79" s="24">
        <v>37043</v>
      </c>
      <c r="J79" s="25">
        <v>3.5103241999999999</v>
      </c>
    </row>
    <row r="80" spans="1:10" x14ac:dyDescent="0.2">
      <c r="A80" s="24">
        <v>37073</v>
      </c>
      <c r="B80" s="25">
        <v>3.8808451000000002</v>
      </c>
      <c r="E80" s="24">
        <v>37073</v>
      </c>
      <c r="F80" s="25">
        <v>2.6025827000000001</v>
      </c>
      <c r="I80" s="24">
        <v>37073</v>
      </c>
      <c r="J80" s="25">
        <v>3.4970355</v>
      </c>
    </row>
    <row r="81" spans="1:10" x14ac:dyDescent="0.2">
      <c r="A81" s="24">
        <v>37104</v>
      </c>
      <c r="B81" s="25">
        <v>3.8382405999999998</v>
      </c>
      <c r="E81" s="24">
        <v>37104</v>
      </c>
      <c r="F81" s="25">
        <v>2.5783461999999999</v>
      </c>
      <c r="I81" s="24">
        <v>37104</v>
      </c>
      <c r="J81" s="25">
        <v>3.4644694999999999</v>
      </c>
    </row>
    <row r="82" spans="1:10" x14ac:dyDescent="0.2">
      <c r="A82" s="24">
        <v>37135</v>
      </c>
      <c r="B82" s="25">
        <v>3.8081562</v>
      </c>
      <c r="E82" s="24">
        <v>37135</v>
      </c>
      <c r="F82" s="25">
        <v>2.5482765000000001</v>
      </c>
      <c r="I82" s="24">
        <v>37135</v>
      </c>
      <c r="J82" s="25">
        <v>3.4240655000000002</v>
      </c>
    </row>
    <row r="83" spans="1:10" x14ac:dyDescent="0.2">
      <c r="A83" s="24">
        <v>37165</v>
      </c>
      <c r="B83" s="25">
        <v>3.7914737000000001</v>
      </c>
      <c r="E83" s="24">
        <v>37165</v>
      </c>
      <c r="F83" s="25">
        <v>2.5386297</v>
      </c>
      <c r="I83" s="24">
        <v>37165</v>
      </c>
      <c r="J83" s="25">
        <v>3.4111033000000002</v>
      </c>
    </row>
    <row r="84" spans="1:10" x14ac:dyDescent="0.2">
      <c r="A84" s="24">
        <v>37196</v>
      </c>
      <c r="B84" s="25">
        <v>3.7561656999999999</v>
      </c>
      <c r="E84" s="24">
        <v>37196</v>
      </c>
      <c r="F84" s="25">
        <v>2.5292713999999998</v>
      </c>
      <c r="I84" s="24">
        <v>37196</v>
      </c>
      <c r="J84" s="25">
        <v>3.3985287999999998</v>
      </c>
    </row>
    <row r="85" spans="1:10" x14ac:dyDescent="0.2">
      <c r="A85" s="24">
        <v>37226</v>
      </c>
      <c r="B85" s="25">
        <v>3.7083282999999998</v>
      </c>
      <c r="E85" s="24">
        <v>37226</v>
      </c>
      <c r="F85" s="25">
        <v>2.5044770999999999</v>
      </c>
      <c r="I85" s="24">
        <v>37226</v>
      </c>
      <c r="J85" s="25">
        <v>3.3652131999999999</v>
      </c>
    </row>
    <row r="86" spans="1:10" x14ac:dyDescent="0.2">
      <c r="A86" s="24">
        <v>37257</v>
      </c>
      <c r="B86" s="25">
        <v>3.6810882</v>
      </c>
      <c r="E86" s="24">
        <v>37257</v>
      </c>
      <c r="F86" s="25">
        <v>2.4907778</v>
      </c>
      <c r="I86" s="24">
        <v>37257</v>
      </c>
      <c r="J86" s="25">
        <v>3.3468057</v>
      </c>
    </row>
    <row r="87" spans="1:10" x14ac:dyDescent="0.2">
      <c r="A87" s="24">
        <v>37288</v>
      </c>
      <c r="B87" s="25">
        <v>3.6421176000000002</v>
      </c>
      <c r="E87" s="24">
        <v>37288</v>
      </c>
      <c r="F87" s="25">
        <v>2.4754301999999999</v>
      </c>
      <c r="I87" s="24">
        <v>37288</v>
      </c>
      <c r="J87" s="25">
        <v>3.3261834000000001</v>
      </c>
    </row>
    <row r="88" spans="1:10" x14ac:dyDescent="0.2">
      <c r="A88" s="24">
        <v>37316</v>
      </c>
      <c r="B88" s="25">
        <v>3.6308619000000002</v>
      </c>
      <c r="E88" s="24">
        <v>37316</v>
      </c>
      <c r="F88" s="25">
        <v>2.4645860000000002</v>
      </c>
      <c r="I88" s="24">
        <v>37316</v>
      </c>
      <c r="J88" s="25">
        <v>3.3116123000000002</v>
      </c>
    </row>
    <row r="89" spans="1:10" x14ac:dyDescent="0.2">
      <c r="A89" s="24">
        <v>37347</v>
      </c>
      <c r="B89" s="25">
        <v>3.6084893</v>
      </c>
      <c r="E89" s="24">
        <v>37347</v>
      </c>
      <c r="F89" s="25">
        <v>2.4547669000000001</v>
      </c>
      <c r="I89" s="24">
        <v>37347</v>
      </c>
      <c r="J89" s="25">
        <v>3.2984186000000002</v>
      </c>
    </row>
    <row r="90" spans="1:10" x14ac:dyDescent="0.2">
      <c r="A90" s="24">
        <v>37377</v>
      </c>
      <c r="B90" s="25">
        <v>3.5841173</v>
      </c>
      <c r="E90" s="24">
        <v>37377</v>
      </c>
      <c r="F90" s="25">
        <v>2.4357679000000001</v>
      </c>
      <c r="I90" s="24">
        <v>37377</v>
      </c>
      <c r="J90" s="25">
        <v>3.2728901000000001</v>
      </c>
    </row>
    <row r="91" spans="1:10" x14ac:dyDescent="0.2">
      <c r="A91" s="24">
        <v>37408</v>
      </c>
      <c r="B91" s="25">
        <v>3.5808944999999999</v>
      </c>
      <c r="E91" s="24">
        <v>37408</v>
      </c>
      <c r="F91" s="25">
        <v>2.4255805000000001</v>
      </c>
      <c r="I91" s="24">
        <v>37408</v>
      </c>
      <c r="J91" s="25">
        <v>3.2592013999999998</v>
      </c>
    </row>
    <row r="92" spans="1:10" x14ac:dyDescent="0.2">
      <c r="A92" s="24">
        <v>37438</v>
      </c>
      <c r="B92" s="25">
        <v>3.5591835000000001</v>
      </c>
      <c r="E92" s="24">
        <v>37438</v>
      </c>
      <c r="F92" s="25">
        <v>2.4176023999999998</v>
      </c>
      <c r="I92" s="24">
        <v>37438</v>
      </c>
      <c r="J92" s="25">
        <v>3.2484814000000002</v>
      </c>
    </row>
    <row r="93" spans="1:10" x14ac:dyDescent="0.2">
      <c r="A93" s="24">
        <v>37469</v>
      </c>
      <c r="B93" s="25">
        <v>3.5187181999999999</v>
      </c>
      <c r="E93" s="24">
        <v>37469</v>
      </c>
      <c r="F93" s="25">
        <v>2.3991291000000001</v>
      </c>
      <c r="I93" s="24">
        <v>37469</v>
      </c>
      <c r="J93" s="25">
        <v>3.2236593</v>
      </c>
    </row>
    <row r="94" spans="1:10" x14ac:dyDescent="0.2">
      <c r="A94" s="24">
        <v>37500</v>
      </c>
      <c r="B94" s="25">
        <v>3.4887152000000001</v>
      </c>
      <c r="E94" s="24">
        <v>37500</v>
      </c>
      <c r="F94" s="25">
        <v>2.3753753999999998</v>
      </c>
      <c r="I94" s="24">
        <v>37500</v>
      </c>
      <c r="J94" s="25">
        <v>3.1917418</v>
      </c>
    </row>
    <row r="95" spans="1:10" x14ac:dyDescent="0.2">
      <c r="A95" s="24">
        <v>37530</v>
      </c>
      <c r="B95" s="25">
        <v>3.4599972999999999</v>
      </c>
      <c r="E95" s="24">
        <v>37530</v>
      </c>
      <c r="F95" s="25">
        <v>2.3607388</v>
      </c>
      <c r="I95" s="24">
        <v>37530</v>
      </c>
      <c r="J95" s="25">
        <v>3.172075</v>
      </c>
    </row>
    <row r="96" spans="1:10" x14ac:dyDescent="0.2">
      <c r="A96" s="24">
        <v>37561</v>
      </c>
      <c r="B96" s="25">
        <v>3.4065150000000002</v>
      </c>
      <c r="E96" s="24">
        <v>37561</v>
      </c>
      <c r="F96" s="25">
        <v>2.3396816</v>
      </c>
      <c r="I96" s="24">
        <v>37561</v>
      </c>
      <c r="J96" s="25">
        <v>3.1437808999999999</v>
      </c>
    </row>
    <row r="97" spans="1:10" x14ac:dyDescent="0.2">
      <c r="A97" s="24">
        <v>37591</v>
      </c>
      <c r="B97" s="25">
        <v>3.2948206</v>
      </c>
      <c r="E97" s="24">
        <v>37591</v>
      </c>
      <c r="F97" s="25">
        <v>2.2920079000000002</v>
      </c>
      <c r="I97" s="24">
        <v>37591</v>
      </c>
      <c r="J97" s="25">
        <v>3.0797227</v>
      </c>
    </row>
    <row r="98" spans="1:10" x14ac:dyDescent="0.2">
      <c r="A98" s="24">
        <v>37622</v>
      </c>
      <c r="B98" s="25">
        <v>3.2081992000000001</v>
      </c>
      <c r="E98" s="24">
        <v>37622</v>
      </c>
      <c r="F98" s="25">
        <v>2.2241707000000002</v>
      </c>
      <c r="I98" s="24">
        <v>37622</v>
      </c>
      <c r="J98" s="25">
        <v>2.9885712999999998</v>
      </c>
    </row>
    <row r="99" spans="1:10" x14ac:dyDescent="0.2">
      <c r="A99" s="24">
        <v>37653</v>
      </c>
      <c r="B99" s="25">
        <v>3.1308668000000002</v>
      </c>
      <c r="E99" s="24">
        <v>37653</v>
      </c>
      <c r="F99" s="25">
        <v>2.1809870999999998</v>
      </c>
      <c r="I99" s="24">
        <v>37653</v>
      </c>
      <c r="J99" s="25">
        <v>2.9305465000000002</v>
      </c>
    </row>
    <row r="100" spans="1:10" x14ac:dyDescent="0.2">
      <c r="A100" s="24">
        <v>37681</v>
      </c>
      <c r="B100" s="25">
        <v>3.0858139000000002</v>
      </c>
      <c r="E100" s="24">
        <v>37681</v>
      </c>
      <c r="F100" s="25">
        <v>2.1342471000000001</v>
      </c>
      <c r="I100" s="24">
        <v>37681</v>
      </c>
      <c r="J100" s="25">
        <v>2.8677429000000001</v>
      </c>
    </row>
    <row r="101" spans="1:10" x14ac:dyDescent="0.2">
      <c r="A101" s="24">
        <v>37712</v>
      </c>
      <c r="B101" s="25">
        <v>3.0441096000000001</v>
      </c>
      <c r="E101" s="24">
        <v>37712</v>
      </c>
      <c r="F101" s="25">
        <v>2.1101909000000001</v>
      </c>
      <c r="I101" s="24">
        <v>37712</v>
      </c>
      <c r="J101" s="25">
        <v>2.8354191000000002</v>
      </c>
    </row>
    <row r="102" spans="1:10" x14ac:dyDescent="0.2">
      <c r="A102" s="24">
        <v>37742</v>
      </c>
      <c r="B102" s="25">
        <v>3.0026727000000002</v>
      </c>
      <c r="E102" s="24">
        <v>37742</v>
      </c>
      <c r="F102" s="25">
        <v>2.0864058999999999</v>
      </c>
      <c r="I102" s="24">
        <v>37742</v>
      </c>
      <c r="J102" s="25">
        <v>2.8034596999999999</v>
      </c>
    </row>
    <row r="103" spans="1:10" x14ac:dyDescent="0.2">
      <c r="A103" s="24">
        <v>37773</v>
      </c>
      <c r="B103" s="25">
        <v>2.9732376999999999</v>
      </c>
      <c r="E103" s="24">
        <v>37773</v>
      </c>
      <c r="F103" s="25">
        <v>2.0688209</v>
      </c>
      <c r="I103" s="24">
        <v>37773</v>
      </c>
      <c r="J103" s="25">
        <v>2.7798311</v>
      </c>
    </row>
    <row r="104" spans="1:10" x14ac:dyDescent="0.2">
      <c r="A104" s="24">
        <v>37803</v>
      </c>
      <c r="B104" s="25">
        <v>2.9750226999999998</v>
      </c>
      <c r="E104" s="24">
        <v>37803</v>
      </c>
      <c r="F104" s="25">
        <v>2.0642795</v>
      </c>
      <c r="I104" s="24">
        <v>37803</v>
      </c>
      <c r="J104" s="25">
        <v>2.7737289000000001</v>
      </c>
    </row>
    <row r="105" spans="1:10" x14ac:dyDescent="0.2">
      <c r="A105" s="24">
        <v>37834</v>
      </c>
      <c r="B105" s="25">
        <v>2.9738330999999998</v>
      </c>
      <c r="E105" s="24">
        <v>37834</v>
      </c>
      <c r="F105" s="25">
        <v>2.0680019000000001</v>
      </c>
      <c r="I105" s="24">
        <v>37834</v>
      </c>
      <c r="J105" s="25">
        <v>2.7787305999999998</v>
      </c>
    </row>
    <row r="106" spans="1:10" x14ac:dyDescent="0.2">
      <c r="A106" s="24">
        <v>37865</v>
      </c>
      <c r="B106" s="25">
        <v>2.9684898999999998</v>
      </c>
      <c r="E106" s="24">
        <v>37865</v>
      </c>
      <c r="F106" s="25">
        <v>2.0624334000000002</v>
      </c>
      <c r="I106" s="24">
        <v>37865</v>
      </c>
      <c r="J106" s="25">
        <v>2.7712482999999999</v>
      </c>
    </row>
    <row r="107" spans="1:10" x14ac:dyDescent="0.2">
      <c r="A107" s="24">
        <v>37895</v>
      </c>
      <c r="B107" s="25">
        <v>2.9443462</v>
      </c>
      <c r="E107" s="24">
        <v>37895</v>
      </c>
      <c r="F107" s="25">
        <v>2.0507441000000002</v>
      </c>
      <c r="I107" s="24">
        <v>37895</v>
      </c>
      <c r="J107" s="25">
        <v>2.7555417000000002</v>
      </c>
    </row>
    <row r="108" spans="1:10" x14ac:dyDescent="0.2">
      <c r="A108" s="24">
        <v>37926</v>
      </c>
      <c r="B108" s="25">
        <v>2.9329079</v>
      </c>
      <c r="E108" s="24">
        <v>37926</v>
      </c>
      <c r="F108" s="25">
        <v>2.0372979</v>
      </c>
      <c r="I108" s="24">
        <v>37926</v>
      </c>
      <c r="J108" s="25">
        <v>2.7374743000000001</v>
      </c>
    </row>
    <row r="109" spans="1:10" x14ac:dyDescent="0.2">
      <c r="A109" s="24">
        <v>37956</v>
      </c>
      <c r="B109" s="25">
        <v>2.9220961000000001</v>
      </c>
      <c r="E109" s="24">
        <v>37956</v>
      </c>
      <c r="F109" s="25">
        <v>2.0338403999999999</v>
      </c>
      <c r="I109" s="24">
        <v>37956</v>
      </c>
      <c r="J109" s="25">
        <v>2.7328285000000001</v>
      </c>
    </row>
    <row r="110" spans="1:10" x14ac:dyDescent="0.2">
      <c r="A110" s="24">
        <v>37987</v>
      </c>
      <c r="B110" s="25">
        <v>2.9064016000000001</v>
      </c>
      <c r="E110" s="24">
        <v>37987</v>
      </c>
      <c r="F110" s="25">
        <v>2.0245275999999999</v>
      </c>
      <c r="I110" s="24">
        <v>37987</v>
      </c>
      <c r="J110" s="25">
        <v>2.7203151000000001</v>
      </c>
    </row>
    <row r="111" spans="1:10" x14ac:dyDescent="0.2">
      <c r="A111" s="24">
        <v>38018</v>
      </c>
      <c r="B111" s="25">
        <v>2.8824770000000002</v>
      </c>
      <c r="E111" s="24">
        <v>38018</v>
      </c>
      <c r="F111" s="25">
        <v>2.0108538</v>
      </c>
      <c r="I111" s="24">
        <v>38018</v>
      </c>
      <c r="J111" s="25">
        <v>2.7019419</v>
      </c>
    </row>
    <row r="112" spans="1:10" x14ac:dyDescent="0.2">
      <c r="A112" s="24">
        <v>38047</v>
      </c>
      <c r="B112" s="25">
        <v>2.8712789999999999</v>
      </c>
      <c r="E112" s="24">
        <v>38047</v>
      </c>
      <c r="F112" s="25">
        <v>1.9929174999999999</v>
      </c>
      <c r="I112" s="24">
        <v>38047</v>
      </c>
      <c r="J112" s="25">
        <v>2.6778412999999999</v>
      </c>
    </row>
    <row r="113" spans="1:10" x14ac:dyDescent="0.2">
      <c r="A113" s="24">
        <v>38078</v>
      </c>
      <c r="B113" s="25">
        <v>2.8550054999999999</v>
      </c>
      <c r="E113" s="24">
        <v>38078</v>
      </c>
      <c r="F113" s="25">
        <v>1.9849775999999999</v>
      </c>
      <c r="I113" s="24">
        <v>38078</v>
      </c>
      <c r="J113" s="25">
        <v>2.6671725999999998</v>
      </c>
    </row>
    <row r="114" spans="1:10" x14ac:dyDescent="0.2">
      <c r="A114" s="24">
        <v>38108</v>
      </c>
      <c r="B114" s="25">
        <v>2.8433476999999998</v>
      </c>
      <c r="E114" s="24">
        <v>38108</v>
      </c>
      <c r="F114" s="25">
        <v>1.9808178999999999</v>
      </c>
      <c r="I114" s="24">
        <v>38108</v>
      </c>
      <c r="J114" s="25">
        <v>2.6615833000000002</v>
      </c>
    </row>
    <row r="115" spans="1:10" x14ac:dyDescent="0.2">
      <c r="A115" s="24">
        <v>38139</v>
      </c>
      <c r="B115" s="25">
        <v>2.8320197</v>
      </c>
      <c r="E115" s="24">
        <v>38139</v>
      </c>
      <c r="F115" s="25">
        <v>1.9701789000000001</v>
      </c>
      <c r="I115" s="24">
        <v>38139</v>
      </c>
      <c r="J115" s="25">
        <v>2.6472878999999998</v>
      </c>
    </row>
    <row r="116" spans="1:10" x14ac:dyDescent="0.2">
      <c r="A116" s="24">
        <v>38169</v>
      </c>
      <c r="B116" s="25">
        <v>2.81793</v>
      </c>
      <c r="E116" s="24">
        <v>38169</v>
      </c>
      <c r="F116" s="25">
        <v>1.9592073999999999</v>
      </c>
      <c r="I116" s="24">
        <v>38169</v>
      </c>
      <c r="J116" s="25">
        <v>2.6325457000000001</v>
      </c>
    </row>
    <row r="117" spans="1:10" x14ac:dyDescent="0.2">
      <c r="A117" s="24">
        <v>38200</v>
      </c>
      <c r="B117" s="25">
        <v>2.7975081999999998</v>
      </c>
      <c r="E117" s="24">
        <v>38200</v>
      </c>
      <c r="F117" s="25">
        <v>1.9411546</v>
      </c>
      <c r="I117" s="24">
        <v>38200</v>
      </c>
      <c r="J117" s="25">
        <v>2.6082885999999998</v>
      </c>
    </row>
    <row r="118" spans="1:10" x14ac:dyDescent="0.2">
      <c r="A118" s="24">
        <v>38231</v>
      </c>
      <c r="B118" s="25">
        <v>2.7835903000000002</v>
      </c>
      <c r="E118" s="24">
        <v>38231</v>
      </c>
      <c r="F118" s="25">
        <v>1.9259397</v>
      </c>
      <c r="I118" s="24">
        <v>38231</v>
      </c>
      <c r="J118" s="25">
        <v>2.5878445999999999</v>
      </c>
    </row>
    <row r="119" spans="1:10" x14ac:dyDescent="0.2">
      <c r="A119" s="24">
        <v>38261</v>
      </c>
      <c r="B119" s="25">
        <v>2.7788662</v>
      </c>
      <c r="E119" s="24">
        <v>38261</v>
      </c>
      <c r="F119" s="25">
        <v>1.9165486</v>
      </c>
      <c r="I119" s="24">
        <v>38261</v>
      </c>
      <c r="J119" s="25">
        <v>2.5752259999999998</v>
      </c>
    </row>
    <row r="120" spans="1:10" x14ac:dyDescent="0.2">
      <c r="A120" s="24">
        <v>38292</v>
      </c>
      <c r="B120" s="25">
        <v>2.7741501</v>
      </c>
      <c r="E120" s="24">
        <v>38292</v>
      </c>
      <c r="F120" s="25">
        <v>1.9104352</v>
      </c>
      <c r="I120" s="24">
        <v>38292</v>
      </c>
      <c r="J120" s="25">
        <v>2.5670115999999998</v>
      </c>
    </row>
    <row r="121" spans="1:10" x14ac:dyDescent="0.2">
      <c r="A121" s="24">
        <v>38322</v>
      </c>
      <c r="B121" s="25">
        <v>2.7619973</v>
      </c>
      <c r="E121" s="24">
        <v>38322</v>
      </c>
      <c r="F121" s="25">
        <v>1.8984748</v>
      </c>
      <c r="I121" s="24">
        <v>38322</v>
      </c>
      <c r="J121" s="25">
        <v>2.5509406999999999</v>
      </c>
    </row>
    <row r="122" spans="1:10" x14ac:dyDescent="0.2">
      <c r="A122" s="24">
        <v>38353</v>
      </c>
      <c r="B122" s="25">
        <v>2.7384466999999999</v>
      </c>
      <c r="E122" s="24">
        <v>38353</v>
      </c>
      <c r="F122" s="25">
        <v>1.8826605000000001</v>
      </c>
      <c r="I122" s="24">
        <v>38353</v>
      </c>
      <c r="J122" s="25">
        <v>2.5296911999999998</v>
      </c>
    </row>
    <row r="123" spans="1:10" x14ac:dyDescent="0.2">
      <c r="A123" s="24">
        <v>38384</v>
      </c>
      <c r="B123" s="25">
        <v>2.7229260000000002</v>
      </c>
      <c r="E123" s="24">
        <v>38384</v>
      </c>
      <c r="F123" s="25">
        <v>1.8699448999999999</v>
      </c>
      <c r="I123" s="24">
        <v>38384</v>
      </c>
      <c r="J123" s="25">
        <v>2.5126054999999998</v>
      </c>
    </row>
    <row r="124" spans="1:10" x14ac:dyDescent="0.2">
      <c r="A124" s="24">
        <v>38412</v>
      </c>
      <c r="B124" s="25">
        <v>2.7109975999999998</v>
      </c>
      <c r="E124" s="24">
        <v>38412</v>
      </c>
      <c r="F124" s="25">
        <v>1.8562088999999999</v>
      </c>
      <c r="I124" s="24">
        <v>38412</v>
      </c>
      <c r="J124" s="25">
        <v>2.4941488000000001</v>
      </c>
    </row>
    <row r="125" spans="1:10" x14ac:dyDescent="0.2">
      <c r="A125" s="24">
        <v>38443</v>
      </c>
      <c r="B125" s="25">
        <v>2.6913507999999999</v>
      </c>
      <c r="E125" s="24">
        <v>38443</v>
      </c>
      <c r="F125" s="25">
        <v>1.8497348</v>
      </c>
      <c r="I125" s="24">
        <v>38443</v>
      </c>
      <c r="J125" s="25">
        <v>2.4854498</v>
      </c>
    </row>
    <row r="126" spans="1:10" x14ac:dyDescent="0.2">
      <c r="A126" s="24">
        <v>38473</v>
      </c>
      <c r="B126" s="25">
        <v>2.6670802999999998</v>
      </c>
      <c r="E126" s="24">
        <v>38473</v>
      </c>
      <c r="F126" s="25">
        <v>1.8361474</v>
      </c>
      <c r="I126" s="24">
        <v>38473</v>
      </c>
      <c r="J126" s="25">
        <v>2.4671924999999999</v>
      </c>
    </row>
    <row r="127" spans="1:10" x14ac:dyDescent="0.2">
      <c r="A127" s="24">
        <v>38504</v>
      </c>
      <c r="B127" s="25">
        <v>2.6485406</v>
      </c>
      <c r="E127" s="24">
        <v>38504</v>
      </c>
      <c r="F127" s="25">
        <v>1.8210328</v>
      </c>
      <c r="I127" s="24">
        <v>38504</v>
      </c>
      <c r="J127" s="25">
        <v>2.4468833999999999</v>
      </c>
    </row>
    <row r="128" spans="1:10" x14ac:dyDescent="0.2">
      <c r="A128" s="24">
        <v>38534</v>
      </c>
      <c r="B128" s="25">
        <v>2.6514571999999998</v>
      </c>
      <c r="E128" s="24">
        <v>38534</v>
      </c>
      <c r="F128" s="25">
        <v>1.8188502</v>
      </c>
      <c r="I128" s="24">
        <v>38534</v>
      </c>
      <c r="J128" s="25">
        <v>2.4439506999999998</v>
      </c>
    </row>
    <row r="129" spans="1:10" x14ac:dyDescent="0.2">
      <c r="A129" s="24">
        <v>38565</v>
      </c>
      <c r="B129" s="25">
        <v>2.6506620000000001</v>
      </c>
      <c r="E129" s="24">
        <v>38565</v>
      </c>
      <c r="F129" s="25">
        <v>1.8168515999999999</v>
      </c>
      <c r="I129" s="24">
        <v>38565</v>
      </c>
      <c r="J129" s="25">
        <v>2.4412653</v>
      </c>
    </row>
    <row r="130" spans="1:10" x14ac:dyDescent="0.2">
      <c r="A130" s="24">
        <v>38596</v>
      </c>
      <c r="B130" s="25">
        <v>2.6506620000000001</v>
      </c>
      <c r="E130" s="24">
        <v>38596</v>
      </c>
      <c r="F130" s="25">
        <v>1.8117786</v>
      </c>
      <c r="I130" s="24">
        <v>38596</v>
      </c>
      <c r="J130" s="25">
        <v>2.4344488000000002</v>
      </c>
    </row>
    <row r="131" spans="1:10" x14ac:dyDescent="0.2">
      <c r="A131" s="24">
        <v>38626</v>
      </c>
      <c r="B131" s="25">
        <v>2.6466919</v>
      </c>
      <c r="E131" s="24">
        <v>38626</v>
      </c>
      <c r="F131" s="25">
        <v>1.8088843999999999</v>
      </c>
      <c r="I131" s="24">
        <v>38626</v>
      </c>
      <c r="J131" s="25">
        <v>2.4305599</v>
      </c>
    </row>
    <row r="132" spans="1:10" x14ac:dyDescent="0.2">
      <c r="A132" s="24">
        <v>38657</v>
      </c>
      <c r="B132" s="25">
        <v>2.6314296000000001</v>
      </c>
      <c r="E132" s="24">
        <v>38657</v>
      </c>
      <c r="F132" s="25">
        <v>1.7988111</v>
      </c>
      <c r="I132" s="24">
        <v>38657</v>
      </c>
      <c r="J132" s="25">
        <v>2.4170246</v>
      </c>
    </row>
    <row r="133" spans="1:10" x14ac:dyDescent="0.2">
      <c r="A133" s="24">
        <v>38687</v>
      </c>
      <c r="B133" s="25">
        <v>2.6172962000000002</v>
      </c>
      <c r="E133" s="24">
        <v>38687</v>
      </c>
      <c r="F133" s="25">
        <v>1.7848889999999999</v>
      </c>
      <c r="I133" s="24">
        <v>38687</v>
      </c>
      <c r="J133" s="25">
        <v>2.3983177000000002</v>
      </c>
    </row>
    <row r="134" spans="1:10" x14ac:dyDescent="0.2">
      <c r="A134" s="24">
        <v>38718</v>
      </c>
      <c r="B134" s="25">
        <v>2.6068688</v>
      </c>
      <c r="E134" s="24">
        <v>38718</v>
      </c>
      <c r="F134" s="25">
        <v>1.7781321000000001</v>
      </c>
      <c r="I134" s="24">
        <v>38718</v>
      </c>
      <c r="J134" s="25">
        <v>2.3892386000000001</v>
      </c>
    </row>
    <row r="135" spans="1:10" x14ac:dyDescent="0.2">
      <c r="A135" s="24">
        <v>38749</v>
      </c>
      <c r="B135" s="25">
        <v>2.5970002000000001</v>
      </c>
      <c r="E135" s="24">
        <v>38749</v>
      </c>
      <c r="F135" s="25">
        <v>1.7691095999999999</v>
      </c>
      <c r="I135" s="24">
        <v>38749</v>
      </c>
      <c r="J135" s="25">
        <v>2.3771152999999998</v>
      </c>
    </row>
    <row r="136" spans="1:10" x14ac:dyDescent="0.2">
      <c r="A136" s="24">
        <v>38777</v>
      </c>
      <c r="B136" s="25">
        <v>2.5910408</v>
      </c>
      <c r="E136" s="24">
        <v>38777</v>
      </c>
      <c r="F136" s="25">
        <v>1.7599578</v>
      </c>
      <c r="I136" s="24">
        <v>38777</v>
      </c>
      <c r="J136" s="25">
        <v>2.3648182000000002</v>
      </c>
    </row>
    <row r="137" spans="1:10" x14ac:dyDescent="0.2">
      <c r="A137" s="24">
        <v>38808</v>
      </c>
      <c r="B137" s="25">
        <v>2.5840638</v>
      </c>
      <c r="E137" s="24">
        <v>38808</v>
      </c>
      <c r="F137" s="25">
        <v>1.7534700000000001</v>
      </c>
      <c r="I137" s="24">
        <v>38808</v>
      </c>
      <c r="J137" s="25">
        <v>2.3561006999999998</v>
      </c>
    </row>
    <row r="138" spans="1:10" x14ac:dyDescent="0.2">
      <c r="A138" s="24">
        <v>38838</v>
      </c>
      <c r="B138" s="25">
        <v>2.5809666</v>
      </c>
      <c r="E138" s="24">
        <v>38838</v>
      </c>
      <c r="F138" s="25">
        <v>1.7504941000000001</v>
      </c>
      <c r="I138" s="24">
        <v>38838</v>
      </c>
      <c r="J138" s="25">
        <v>2.3521021000000002</v>
      </c>
    </row>
    <row r="139" spans="1:10" x14ac:dyDescent="0.2">
      <c r="A139" s="24">
        <v>38869</v>
      </c>
      <c r="B139" s="25">
        <v>2.5776157</v>
      </c>
      <c r="E139" s="24">
        <v>38869</v>
      </c>
      <c r="F139" s="25">
        <v>1.7457805</v>
      </c>
      <c r="I139" s="24">
        <v>38869</v>
      </c>
      <c r="J139" s="25">
        <v>2.3457685000000001</v>
      </c>
    </row>
    <row r="140" spans="1:10" x14ac:dyDescent="0.2">
      <c r="A140" s="24">
        <v>38899</v>
      </c>
      <c r="B140" s="25">
        <v>2.5794212999999999</v>
      </c>
      <c r="E140" s="24">
        <v>38899</v>
      </c>
      <c r="F140" s="25">
        <v>1.7484031</v>
      </c>
      <c r="I140" s="24">
        <v>38899</v>
      </c>
      <c r="J140" s="25">
        <v>2.3492924999999998</v>
      </c>
    </row>
    <row r="141" spans="1:10" x14ac:dyDescent="0.2">
      <c r="A141" s="24">
        <v>38930</v>
      </c>
      <c r="B141" s="25">
        <v>2.5765870999999998</v>
      </c>
      <c r="E141" s="24">
        <v>38930</v>
      </c>
      <c r="F141" s="25">
        <v>1.7487528999999999</v>
      </c>
      <c r="I141" s="24">
        <v>38930</v>
      </c>
      <c r="J141" s="25">
        <v>2.3497623999999999</v>
      </c>
    </row>
    <row r="142" spans="1:10" x14ac:dyDescent="0.2">
      <c r="A142" s="24">
        <v>38961</v>
      </c>
      <c r="B142" s="25">
        <v>2.5771025000000001</v>
      </c>
      <c r="E142" s="24">
        <v>38961</v>
      </c>
      <c r="F142" s="25">
        <v>1.7454365999999999</v>
      </c>
      <c r="I142" s="24">
        <v>38961</v>
      </c>
      <c r="J142" s="25">
        <v>2.3453062999999998</v>
      </c>
    </row>
    <row r="143" spans="1:10" x14ac:dyDescent="0.2">
      <c r="A143" s="24">
        <v>38991</v>
      </c>
      <c r="B143" s="25">
        <v>2.5729856999999998</v>
      </c>
      <c r="E143" s="24">
        <v>38991</v>
      </c>
      <c r="F143" s="25">
        <v>1.7445643</v>
      </c>
      <c r="I143" s="24">
        <v>38991</v>
      </c>
      <c r="J143" s="25">
        <v>2.3441342999999999</v>
      </c>
    </row>
    <row r="144" spans="1:10" x14ac:dyDescent="0.2">
      <c r="A144" s="24">
        <v>39022</v>
      </c>
      <c r="B144" s="25">
        <v>2.5619692999999999</v>
      </c>
      <c r="E144" s="24">
        <v>39022</v>
      </c>
      <c r="F144" s="25">
        <v>1.7395197</v>
      </c>
      <c r="I144" s="24">
        <v>39022</v>
      </c>
      <c r="J144" s="25">
        <v>2.3373558999999999</v>
      </c>
    </row>
    <row r="145" spans="1:10" x14ac:dyDescent="0.2">
      <c r="A145" s="24">
        <v>39052</v>
      </c>
      <c r="B145" s="25">
        <v>2.5512540000000001</v>
      </c>
      <c r="E145" s="24">
        <v>39052</v>
      </c>
      <c r="F145" s="25">
        <v>1.7331072000000001</v>
      </c>
      <c r="I145" s="24">
        <v>39052</v>
      </c>
      <c r="J145" s="25">
        <v>2.3287396</v>
      </c>
    </row>
    <row r="146" spans="1:10" x14ac:dyDescent="0.2">
      <c r="A146" s="24">
        <v>39083</v>
      </c>
      <c r="B146" s="25">
        <v>2.5355336999999998</v>
      </c>
      <c r="E146" s="24">
        <v>39083</v>
      </c>
      <c r="F146" s="25">
        <v>1.7270624999999999</v>
      </c>
      <c r="I146" s="24">
        <v>39083</v>
      </c>
      <c r="J146" s="25">
        <v>2.3206174000000002</v>
      </c>
    </row>
    <row r="147" spans="1:10" x14ac:dyDescent="0.2">
      <c r="A147" s="24">
        <v>39114</v>
      </c>
      <c r="B147" s="25">
        <v>2.5231701000000002</v>
      </c>
      <c r="E147" s="24">
        <v>39114</v>
      </c>
      <c r="F147" s="25">
        <v>1.7181282</v>
      </c>
      <c r="I147" s="24">
        <v>39114</v>
      </c>
      <c r="J147" s="25">
        <v>2.3086126999999999</v>
      </c>
    </row>
    <row r="148" spans="1:10" x14ac:dyDescent="0.2">
      <c r="A148" s="24">
        <v>39142</v>
      </c>
      <c r="B148" s="25">
        <v>2.5126172000000002</v>
      </c>
      <c r="E148" s="24">
        <v>39142</v>
      </c>
      <c r="F148" s="25">
        <v>1.710261</v>
      </c>
      <c r="I148" s="24">
        <v>39142</v>
      </c>
      <c r="J148" s="25">
        <v>2.2980417000000002</v>
      </c>
    </row>
    <row r="149" spans="1:10" x14ac:dyDescent="0.2">
      <c r="A149" s="24">
        <v>39173</v>
      </c>
      <c r="B149" s="25">
        <v>2.5016101000000002</v>
      </c>
      <c r="E149" s="24">
        <v>39173</v>
      </c>
      <c r="F149" s="25">
        <v>1.7032775</v>
      </c>
      <c r="I149" s="24">
        <v>39173</v>
      </c>
      <c r="J149" s="25">
        <v>2.2886582</v>
      </c>
    </row>
    <row r="150" spans="1:10" x14ac:dyDescent="0.2">
      <c r="A150" s="24">
        <v>39203</v>
      </c>
      <c r="B150" s="25">
        <v>2.4951227999999999</v>
      </c>
      <c r="E150" s="24">
        <v>39203</v>
      </c>
      <c r="F150" s="25">
        <v>1.6995385999999999</v>
      </c>
      <c r="I150" s="24">
        <v>39203</v>
      </c>
      <c r="J150" s="25">
        <v>2.2836341999999998</v>
      </c>
    </row>
    <row r="151" spans="1:10" x14ac:dyDescent="0.2">
      <c r="A151" s="24">
        <v>39234</v>
      </c>
      <c r="B151" s="25">
        <v>2.4886523</v>
      </c>
      <c r="E151" s="24">
        <v>39234</v>
      </c>
      <c r="F151" s="25">
        <v>1.6951312000000001</v>
      </c>
      <c r="I151" s="24">
        <v>39234</v>
      </c>
      <c r="J151" s="25">
        <v>2.2777121</v>
      </c>
    </row>
    <row r="152" spans="1:10" x14ac:dyDescent="0.2">
      <c r="A152" s="24">
        <v>39264</v>
      </c>
      <c r="B152" s="25">
        <v>2.4809613000000001</v>
      </c>
      <c r="E152" s="24">
        <v>39264</v>
      </c>
      <c r="F152" s="25">
        <v>1.6902296000000001</v>
      </c>
      <c r="I152" s="24">
        <v>39264</v>
      </c>
      <c r="J152" s="25">
        <v>2.2711258999999999</v>
      </c>
    </row>
    <row r="153" spans="1:10" x14ac:dyDescent="0.2">
      <c r="A153" s="24">
        <v>39295</v>
      </c>
      <c r="B153" s="25">
        <v>2.4730474999999998</v>
      </c>
      <c r="E153" s="24">
        <v>39295</v>
      </c>
      <c r="F153" s="25">
        <v>1.6861827</v>
      </c>
      <c r="I153" s="24">
        <v>39295</v>
      </c>
      <c r="J153" s="25">
        <v>2.2656882</v>
      </c>
    </row>
    <row r="154" spans="1:10" x14ac:dyDescent="0.2">
      <c r="A154" s="24">
        <v>39326</v>
      </c>
      <c r="B154" s="25">
        <v>2.4585420999999998</v>
      </c>
      <c r="E154" s="24">
        <v>39326</v>
      </c>
      <c r="F154" s="25">
        <v>1.6791304</v>
      </c>
      <c r="I154" s="24">
        <v>39326</v>
      </c>
      <c r="J154" s="25">
        <v>2.2562120999999999</v>
      </c>
    </row>
    <row r="155" spans="1:10" x14ac:dyDescent="0.2">
      <c r="A155" s="24">
        <v>39356</v>
      </c>
      <c r="B155" s="25">
        <v>2.4524111</v>
      </c>
      <c r="E155" s="24">
        <v>39356</v>
      </c>
      <c r="F155" s="25">
        <v>1.674275</v>
      </c>
      <c r="I155" s="24">
        <v>39356</v>
      </c>
      <c r="J155" s="25">
        <v>2.2496879999999999</v>
      </c>
    </row>
    <row r="156" spans="1:10" x14ac:dyDescent="0.2">
      <c r="A156" s="24">
        <v>39387</v>
      </c>
      <c r="B156" s="25">
        <v>2.4450759</v>
      </c>
      <c r="E156" s="24">
        <v>39387</v>
      </c>
      <c r="F156" s="25">
        <v>1.6702663</v>
      </c>
      <c r="I156" s="24">
        <v>39387</v>
      </c>
      <c r="J156" s="25">
        <v>2.2443016999999998</v>
      </c>
    </row>
    <row r="157" spans="1:10" x14ac:dyDescent="0.2">
      <c r="A157" s="24">
        <v>39417</v>
      </c>
      <c r="B157" s="25">
        <v>2.4346071</v>
      </c>
      <c r="E157" s="24">
        <v>39417</v>
      </c>
      <c r="F157" s="25">
        <v>1.6664334999999999</v>
      </c>
      <c r="I157" s="24">
        <v>39417</v>
      </c>
      <c r="J157" s="25">
        <v>2.2391516</v>
      </c>
    </row>
    <row r="158" spans="1:10" x14ac:dyDescent="0.2">
      <c r="A158" s="24">
        <v>39448</v>
      </c>
      <c r="B158" s="25">
        <v>2.4112182</v>
      </c>
      <c r="E158" s="24">
        <v>39448</v>
      </c>
      <c r="F158" s="25">
        <v>1.6548495999999999</v>
      </c>
      <c r="I158" s="24">
        <v>39448</v>
      </c>
      <c r="J158" s="25">
        <v>2.2235865000000001</v>
      </c>
    </row>
    <row r="159" spans="1:10" x14ac:dyDescent="0.2">
      <c r="A159" s="24">
        <v>39479</v>
      </c>
      <c r="B159" s="25">
        <v>2.3946947999999999</v>
      </c>
      <c r="E159" s="24">
        <v>39479</v>
      </c>
      <c r="F159" s="25">
        <v>1.6433462000000001</v>
      </c>
      <c r="I159" s="24">
        <v>39479</v>
      </c>
      <c r="J159" s="25">
        <v>2.2081295999999999</v>
      </c>
    </row>
    <row r="160" spans="1:10" x14ac:dyDescent="0.2">
      <c r="A160" s="24">
        <v>39508</v>
      </c>
      <c r="B160" s="25">
        <v>2.3832551999999998</v>
      </c>
      <c r="E160" s="24">
        <v>39508</v>
      </c>
      <c r="F160" s="25">
        <v>1.6328955999999999</v>
      </c>
      <c r="I160" s="24">
        <v>39508</v>
      </c>
      <c r="J160" s="25">
        <v>2.1940875000000002</v>
      </c>
    </row>
    <row r="161" spans="1:10" x14ac:dyDescent="0.2">
      <c r="A161" s="24">
        <v>39539</v>
      </c>
      <c r="B161" s="25">
        <v>2.3711622999999999</v>
      </c>
      <c r="E161" s="24">
        <v>39539</v>
      </c>
      <c r="F161" s="25">
        <v>1.6291485999999999</v>
      </c>
      <c r="I161" s="24">
        <v>39539</v>
      </c>
      <c r="J161" s="25">
        <v>2.1890526000000001</v>
      </c>
    </row>
    <row r="162" spans="1:10" x14ac:dyDescent="0.2">
      <c r="A162" s="24">
        <v>39569</v>
      </c>
      <c r="B162" s="25">
        <v>2.3560834000000002</v>
      </c>
      <c r="E162" s="24">
        <v>39569</v>
      </c>
      <c r="F162" s="25">
        <v>1.6195930000000001</v>
      </c>
      <c r="I162" s="24">
        <v>39569</v>
      </c>
      <c r="J162" s="25">
        <v>2.1762130000000002</v>
      </c>
    </row>
    <row r="163" spans="1:10" x14ac:dyDescent="0.2">
      <c r="A163" s="24">
        <v>39600</v>
      </c>
      <c r="B163" s="25">
        <v>2.3336800000000002</v>
      </c>
      <c r="E163" s="24">
        <v>39600</v>
      </c>
      <c r="F163" s="25">
        <v>1.6105738000000001</v>
      </c>
      <c r="I163" s="24">
        <v>39600</v>
      </c>
      <c r="J163" s="25">
        <v>2.1640940999999998</v>
      </c>
    </row>
    <row r="164" spans="1:10" x14ac:dyDescent="0.2">
      <c r="A164" s="24">
        <v>39630</v>
      </c>
      <c r="B164" s="25">
        <v>2.3126351000000001</v>
      </c>
      <c r="E164" s="24">
        <v>39630</v>
      </c>
      <c r="F164" s="25">
        <v>1.5962079</v>
      </c>
      <c r="I164" s="24">
        <v>39630</v>
      </c>
      <c r="J164" s="25">
        <v>2.1447908999999998</v>
      </c>
    </row>
    <row r="165" spans="1:10" x14ac:dyDescent="0.2">
      <c r="A165" s="24">
        <v>39661</v>
      </c>
      <c r="B165" s="25">
        <v>2.2992990999999998</v>
      </c>
      <c r="E165" s="24">
        <v>39661</v>
      </c>
      <c r="F165" s="25">
        <v>1.5862148</v>
      </c>
      <c r="I165" s="24">
        <v>39661</v>
      </c>
      <c r="J165" s="25">
        <v>2.1313634000000001</v>
      </c>
    </row>
    <row r="166" spans="1:10" x14ac:dyDescent="0.2">
      <c r="A166" s="24">
        <v>39692</v>
      </c>
      <c r="B166" s="25">
        <v>2.2944806999999998</v>
      </c>
      <c r="E166" s="24">
        <v>39692</v>
      </c>
      <c r="F166" s="25">
        <v>1.5806823999999999</v>
      </c>
      <c r="I166" s="24">
        <v>39692</v>
      </c>
      <c r="J166" s="25">
        <v>2.1239295999999999</v>
      </c>
    </row>
    <row r="167" spans="1:10" x14ac:dyDescent="0.2">
      <c r="A167" s="24">
        <v>39722</v>
      </c>
      <c r="B167" s="25">
        <v>2.2910441000000001</v>
      </c>
      <c r="E167" s="24">
        <v>39722</v>
      </c>
      <c r="F167" s="25">
        <v>1.5765832</v>
      </c>
      <c r="I167" s="24">
        <v>39722</v>
      </c>
      <c r="J167" s="25">
        <v>2.1184216999999999</v>
      </c>
    </row>
    <row r="168" spans="1:10" x14ac:dyDescent="0.2">
      <c r="A168" s="24">
        <v>39753</v>
      </c>
      <c r="B168" s="25">
        <v>2.2796458999999998</v>
      </c>
      <c r="E168" s="24">
        <v>39753</v>
      </c>
      <c r="F168" s="25">
        <v>1.5718676</v>
      </c>
      <c r="I168" s="24">
        <v>39753</v>
      </c>
      <c r="J168" s="25">
        <v>2.1120853999999998</v>
      </c>
    </row>
    <row r="169" spans="1:10" x14ac:dyDescent="0.2">
      <c r="A169" s="24">
        <v>39783</v>
      </c>
      <c r="B169" s="25">
        <v>2.2710161000000002</v>
      </c>
      <c r="E169" s="24">
        <v>39783</v>
      </c>
      <c r="F169" s="25">
        <v>1.5642031000000001</v>
      </c>
      <c r="I169" s="24">
        <v>39783</v>
      </c>
      <c r="J169" s="25">
        <v>2.1017866999999999</v>
      </c>
    </row>
    <row r="170" spans="1:10" x14ac:dyDescent="0.2">
      <c r="A170" s="24">
        <v>39814</v>
      </c>
      <c r="B170" s="25">
        <v>2.2644491000000002</v>
      </c>
      <c r="E170" s="24">
        <v>39814</v>
      </c>
      <c r="F170" s="25">
        <v>1.55968</v>
      </c>
      <c r="I170" s="24">
        <v>39814</v>
      </c>
      <c r="J170" s="25">
        <v>2.0957091000000001</v>
      </c>
    </row>
    <row r="171" spans="1:10" x14ac:dyDescent="0.2">
      <c r="A171" s="24">
        <v>39845</v>
      </c>
      <c r="B171" s="25">
        <v>2.2500488000000001</v>
      </c>
      <c r="E171" s="24">
        <v>39845</v>
      </c>
      <c r="F171" s="25">
        <v>1.5534661000000001</v>
      </c>
      <c r="I171" s="24">
        <v>39845</v>
      </c>
      <c r="J171" s="25">
        <v>2.0873596999999999</v>
      </c>
    </row>
    <row r="172" spans="1:10" x14ac:dyDescent="0.2">
      <c r="A172" s="24">
        <v>39873</v>
      </c>
      <c r="B172" s="25">
        <v>2.2430952</v>
      </c>
      <c r="E172" s="24">
        <v>39873</v>
      </c>
      <c r="F172" s="25">
        <v>1.5437406</v>
      </c>
      <c r="I172" s="24">
        <v>39873</v>
      </c>
      <c r="J172" s="25">
        <v>2.0742916999999998</v>
      </c>
    </row>
    <row r="173" spans="1:10" x14ac:dyDescent="0.2">
      <c r="A173" s="24">
        <v>39904</v>
      </c>
      <c r="B173" s="25">
        <v>2.2386180000000002</v>
      </c>
      <c r="E173" s="24">
        <v>39904</v>
      </c>
      <c r="F173" s="25">
        <v>1.5420442999999999</v>
      </c>
      <c r="I173" s="24">
        <v>39904</v>
      </c>
      <c r="J173" s="25">
        <v>2.0720124000000002</v>
      </c>
    </row>
    <row r="174" spans="1:10" x14ac:dyDescent="0.2">
      <c r="A174" s="24">
        <v>39934</v>
      </c>
      <c r="B174" s="25">
        <v>2.2263730000000002</v>
      </c>
      <c r="E174" s="24">
        <v>39934</v>
      </c>
      <c r="F174" s="25">
        <v>1.5365129</v>
      </c>
      <c r="I174" s="24">
        <v>39934</v>
      </c>
      <c r="J174" s="25">
        <v>2.0645799999999999</v>
      </c>
    </row>
    <row r="175" spans="1:10" x14ac:dyDescent="0.2">
      <c r="A175" s="24">
        <v>39965</v>
      </c>
      <c r="B175" s="25">
        <v>2.2130944000000001</v>
      </c>
      <c r="E175" s="24">
        <v>39965</v>
      </c>
      <c r="F175" s="25">
        <v>1.5275006</v>
      </c>
      <c r="I175" s="24">
        <v>39965</v>
      </c>
      <c r="J175" s="25">
        <v>2.0524703999999998</v>
      </c>
    </row>
    <row r="176" spans="1:10" x14ac:dyDescent="0.2">
      <c r="A176" s="24">
        <v>39995</v>
      </c>
      <c r="B176" s="25">
        <v>2.2038383000000001</v>
      </c>
      <c r="E176" s="24">
        <v>39995</v>
      </c>
      <c r="F176" s="25">
        <v>1.5217181</v>
      </c>
      <c r="I176" s="24">
        <v>39995</v>
      </c>
      <c r="J176" s="25">
        <v>2.0447004999999998</v>
      </c>
    </row>
    <row r="177" spans="1:10" x14ac:dyDescent="0.2">
      <c r="A177" s="24">
        <v>40026</v>
      </c>
      <c r="B177" s="25">
        <v>2.1987811000000002</v>
      </c>
      <c r="E177" s="24">
        <v>40026</v>
      </c>
      <c r="F177" s="25">
        <v>1.5183776</v>
      </c>
      <c r="I177" s="24">
        <v>40026</v>
      </c>
      <c r="J177" s="25">
        <v>2.0402121000000002</v>
      </c>
    </row>
    <row r="178" spans="1:10" x14ac:dyDescent="0.2">
      <c r="A178" s="24">
        <v>40057</v>
      </c>
      <c r="B178" s="25">
        <v>2.1970234999999998</v>
      </c>
      <c r="E178" s="24">
        <v>40057</v>
      </c>
      <c r="F178" s="25">
        <v>1.5148934000000001</v>
      </c>
      <c r="I178" s="24">
        <v>40057</v>
      </c>
      <c r="J178" s="25">
        <v>2.0355303</v>
      </c>
    </row>
    <row r="179" spans="1:10" x14ac:dyDescent="0.2">
      <c r="A179" s="24">
        <v>40087</v>
      </c>
      <c r="B179" s="25">
        <v>2.1935137999999998</v>
      </c>
      <c r="E179" s="24">
        <v>40087</v>
      </c>
      <c r="F179" s="25">
        <v>1.5120205</v>
      </c>
      <c r="I179" s="24">
        <v>40087</v>
      </c>
      <c r="J179" s="25">
        <v>2.0316702000000002</v>
      </c>
    </row>
    <row r="180" spans="1:10" x14ac:dyDescent="0.2">
      <c r="A180" s="24">
        <v>40118</v>
      </c>
      <c r="B180" s="25">
        <v>2.1882619999999999</v>
      </c>
      <c r="E180" s="24">
        <v>40118</v>
      </c>
      <c r="F180" s="25">
        <v>1.5093038000000001</v>
      </c>
      <c r="I180" s="24">
        <v>40118</v>
      </c>
      <c r="J180" s="25">
        <v>2.0280197000000002</v>
      </c>
    </row>
    <row r="181" spans="1:10" x14ac:dyDescent="0.2">
      <c r="A181" s="24">
        <v>40148</v>
      </c>
      <c r="B181" s="25">
        <v>2.1801952999999998</v>
      </c>
      <c r="E181" s="24">
        <v>40148</v>
      </c>
      <c r="F181" s="25">
        <v>1.5026919999999999</v>
      </c>
      <c r="I181" s="24">
        <v>40148</v>
      </c>
      <c r="J181" s="25">
        <v>2.0191355</v>
      </c>
    </row>
    <row r="182" spans="1:10" x14ac:dyDescent="0.2">
      <c r="A182" s="24">
        <v>40179</v>
      </c>
      <c r="B182" s="25">
        <v>2.1749752999999998</v>
      </c>
      <c r="E182" s="24">
        <v>40179</v>
      </c>
      <c r="F182" s="25">
        <v>1.5004706999999999</v>
      </c>
      <c r="I182" s="24">
        <v>40179</v>
      </c>
      <c r="J182" s="25">
        <v>2.0114919000000002</v>
      </c>
    </row>
    <row r="183" spans="1:10" x14ac:dyDescent="0.2">
      <c r="A183" s="24">
        <v>40210</v>
      </c>
      <c r="B183" s="25">
        <v>2.1560025</v>
      </c>
      <c r="E183" s="24">
        <v>40210</v>
      </c>
      <c r="F183" s="25">
        <v>1.5004706999999999</v>
      </c>
      <c r="I183" s="24">
        <v>40210</v>
      </c>
      <c r="J183" s="25">
        <v>2.0010862</v>
      </c>
    </row>
    <row r="184" spans="1:10" x14ac:dyDescent="0.2">
      <c r="A184" s="24">
        <v>40238</v>
      </c>
      <c r="B184" s="25">
        <v>2.1410154000000001</v>
      </c>
      <c r="E184" s="24">
        <v>40238</v>
      </c>
      <c r="F184" s="25">
        <v>1.5004706999999999</v>
      </c>
      <c r="I184" s="24">
        <v>40238</v>
      </c>
      <c r="J184" s="25">
        <v>1.9824512000000001</v>
      </c>
    </row>
    <row r="185" spans="1:10" x14ac:dyDescent="0.2">
      <c r="A185" s="24">
        <v>40269</v>
      </c>
      <c r="B185" s="25">
        <v>2.1259214000000002</v>
      </c>
      <c r="E185" s="24">
        <v>40269</v>
      </c>
      <c r="F185" s="25">
        <v>1.4992832</v>
      </c>
      <c r="I185" s="24">
        <v>40269</v>
      </c>
      <c r="J185" s="25">
        <v>1.9716073000000001</v>
      </c>
    </row>
    <row r="186" spans="1:10" x14ac:dyDescent="0.2">
      <c r="A186" s="24">
        <v>40299</v>
      </c>
      <c r="B186" s="25">
        <v>2.1105146000000001</v>
      </c>
      <c r="E186" s="24">
        <v>40299</v>
      </c>
      <c r="F186" s="25">
        <v>1.4992832</v>
      </c>
      <c r="I186" s="24">
        <v>40299</v>
      </c>
      <c r="J186" s="25">
        <v>1.9621888000000001</v>
      </c>
    </row>
    <row r="187" spans="1:10" x14ac:dyDescent="0.2">
      <c r="A187" s="24">
        <v>40330</v>
      </c>
      <c r="B187" s="25">
        <v>2.1014783000000001</v>
      </c>
      <c r="E187" s="24">
        <v>40330</v>
      </c>
      <c r="F187" s="25">
        <v>1.4985189999999999</v>
      </c>
      <c r="I187" s="24">
        <v>40330</v>
      </c>
      <c r="J187" s="25">
        <v>1.9499044000000001</v>
      </c>
    </row>
    <row r="188" spans="1:10" x14ac:dyDescent="0.2">
      <c r="A188" s="24">
        <v>40360</v>
      </c>
      <c r="B188" s="25">
        <v>2.1037924000000001</v>
      </c>
      <c r="E188" s="24">
        <v>40360</v>
      </c>
      <c r="F188" s="25">
        <v>1.4976369</v>
      </c>
      <c r="I188" s="24">
        <v>40360</v>
      </c>
      <c r="J188" s="25">
        <v>1.9462066</v>
      </c>
    </row>
    <row r="189" spans="1:10" x14ac:dyDescent="0.2">
      <c r="A189" s="24">
        <v>40391</v>
      </c>
      <c r="B189" s="25">
        <v>2.1052661000000001</v>
      </c>
      <c r="E189" s="24">
        <v>40391</v>
      </c>
      <c r="F189" s="25">
        <v>1.4959150999999999</v>
      </c>
      <c r="I189" s="24">
        <v>40391</v>
      </c>
      <c r="J189" s="25">
        <v>1.9479598</v>
      </c>
    </row>
    <row r="190" spans="1:10" x14ac:dyDescent="0.2">
      <c r="A190" s="24">
        <v>40422</v>
      </c>
      <c r="B190" s="25">
        <v>2.1067407999999999</v>
      </c>
      <c r="E190" s="24">
        <v>40422</v>
      </c>
      <c r="F190" s="25">
        <v>1.4945565000000001</v>
      </c>
      <c r="I190" s="24">
        <v>40422</v>
      </c>
      <c r="J190" s="25">
        <v>1.9489342999999999</v>
      </c>
    </row>
    <row r="191" spans="1:10" x14ac:dyDescent="0.2">
      <c r="A191" s="24">
        <v>40452</v>
      </c>
      <c r="B191" s="25">
        <v>2.0954255000000002</v>
      </c>
      <c r="E191" s="24">
        <v>40452</v>
      </c>
      <c r="F191" s="25">
        <v>1.4935080999999999</v>
      </c>
      <c r="I191" s="24">
        <v>40452</v>
      </c>
      <c r="J191" s="25">
        <v>1.9429111999999999</v>
      </c>
    </row>
    <row r="192" spans="1:10" x14ac:dyDescent="0.2">
      <c r="A192" s="24">
        <v>40483</v>
      </c>
      <c r="B192" s="25">
        <v>2.0763234000000002</v>
      </c>
      <c r="E192" s="24">
        <v>40483</v>
      </c>
      <c r="F192" s="25">
        <v>1.4928034999999999</v>
      </c>
      <c r="I192" s="24">
        <v>40483</v>
      </c>
      <c r="J192" s="25">
        <v>1.9309394</v>
      </c>
    </row>
    <row r="193" spans="1:10" x14ac:dyDescent="0.2">
      <c r="A193" s="24">
        <v>40513</v>
      </c>
      <c r="B193" s="25">
        <v>2.0551553</v>
      </c>
      <c r="E193" s="24">
        <v>40513</v>
      </c>
      <c r="F193" s="25">
        <v>1.4923021000000001</v>
      </c>
      <c r="I193" s="24">
        <v>40513</v>
      </c>
      <c r="J193" s="25">
        <v>1.9144749000000001</v>
      </c>
    </row>
    <row r="194" spans="1:10" x14ac:dyDescent="0.2">
      <c r="A194" s="24">
        <v>40544</v>
      </c>
      <c r="B194" s="25">
        <v>2.0428978999999998</v>
      </c>
      <c r="E194" s="24">
        <v>40544</v>
      </c>
      <c r="F194" s="25">
        <v>1.4902069</v>
      </c>
      <c r="I194" s="24">
        <v>40544</v>
      </c>
      <c r="J194" s="25">
        <v>1.9013556</v>
      </c>
    </row>
    <row r="195" spans="1:10" x14ac:dyDescent="0.2">
      <c r="A195" s="24">
        <v>40575</v>
      </c>
      <c r="B195" s="25">
        <v>2.0238735000000001</v>
      </c>
      <c r="E195" s="24">
        <v>40575</v>
      </c>
      <c r="F195" s="25">
        <v>1.4891421</v>
      </c>
      <c r="I195" s="24">
        <v>40575</v>
      </c>
      <c r="J195" s="25">
        <v>1.8870142999999999</v>
      </c>
    </row>
    <row r="196" spans="1:10" x14ac:dyDescent="0.2">
      <c r="A196" s="24">
        <v>40603</v>
      </c>
      <c r="B196" s="25">
        <v>2.0130032</v>
      </c>
      <c r="E196" s="24">
        <v>40603</v>
      </c>
      <c r="F196" s="25">
        <v>1.4883622000000001</v>
      </c>
      <c r="I196" s="24">
        <v>40603</v>
      </c>
      <c r="J196" s="25">
        <v>1.8688861000000001</v>
      </c>
    </row>
    <row r="197" spans="1:10" x14ac:dyDescent="0.2">
      <c r="A197" s="24">
        <v>40634</v>
      </c>
      <c r="B197" s="25">
        <v>1.9998045</v>
      </c>
      <c r="E197" s="24">
        <v>40634</v>
      </c>
      <c r="F197" s="25">
        <v>1.4865605</v>
      </c>
      <c r="I197" s="24">
        <v>40634</v>
      </c>
      <c r="J197" s="25">
        <v>1.8577395999999999</v>
      </c>
    </row>
    <row r="198" spans="1:10" x14ac:dyDescent="0.2">
      <c r="A198" s="24">
        <v>40664</v>
      </c>
      <c r="B198" s="25">
        <v>1.9855088999999999</v>
      </c>
      <c r="E198" s="24">
        <v>40664</v>
      </c>
      <c r="F198" s="25">
        <v>1.4860122</v>
      </c>
      <c r="I198" s="24">
        <v>40664</v>
      </c>
      <c r="J198" s="25">
        <v>1.8435443</v>
      </c>
    </row>
    <row r="199" spans="1:10" x14ac:dyDescent="0.2">
      <c r="A199" s="24">
        <v>40695</v>
      </c>
      <c r="B199" s="25">
        <v>1.9742556</v>
      </c>
      <c r="E199" s="24">
        <v>40695</v>
      </c>
      <c r="F199" s="25">
        <v>1.4836828</v>
      </c>
      <c r="I199" s="24">
        <v>40695</v>
      </c>
      <c r="J199" s="25">
        <v>1.8307291999999999</v>
      </c>
    </row>
    <row r="200" spans="1:10" x14ac:dyDescent="0.2">
      <c r="A200" s="24">
        <v>40725</v>
      </c>
      <c r="B200" s="25">
        <v>1.9699218000000001</v>
      </c>
      <c r="E200" s="24">
        <v>40725</v>
      </c>
      <c r="F200" s="25">
        <v>1.4820317999999999</v>
      </c>
      <c r="I200" s="24">
        <v>40725</v>
      </c>
      <c r="J200" s="25">
        <v>1.8265282</v>
      </c>
    </row>
    <row r="201" spans="1:10" x14ac:dyDescent="0.2">
      <c r="A201" s="24">
        <v>40756</v>
      </c>
      <c r="B201" s="25">
        <v>1.9699218000000001</v>
      </c>
      <c r="E201" s="24">
        <v>40756</v>
      </c>
      <c r="F201" s="25">
        <v>1.4802126</v>
      </c>
      <c r="I201" s="24">
        <v>40756</v>
      </c>
      <c r="J201" s="25">
        <v>1.8247035</v>
      </c>
    </row>
    <row r="202" spans="1:10" x14ac:dyDescent="0.2">
      <c r="A202" s="24">
        <v>40787</v>
      </c>
      <c r="B202" s="25">
        <v>1.9616826999999999</v>
      </c>
      <c r="E202" s="24">
        <v>40787</v>
      </c>
      <c r="F202" s="25">
        <v>1.4771460999999999</v>
      </c>
      <c r="I202" s="24">
        <v>40787</v>
      </c>
      <c r="J202" s="25">
        <v>1.8197901000000001</v>
      </c>
    </row>
    <row r="203" spans="1:10" x14ac:dyDescent="0.2">
      <c r="A203" s="24">
        <v>40817</v>
      </c>
      <c r="B203" s="25">
        <v>1.9528947000000001</v>
      </c>
      <c r="E203" s="24">
        <v>40817</v>
      </c>
      <c r="F203" s="25">
        <v>1.4756659999999999</v>
      </c>
      <c r="I203" s="24">
        <v>40817</v>
      </c>
      <c r="J203" s="25">
        <v>1.8101961</v>
      </c>
    </row>
    <row r="204" spans="1:10" x14ac:dyDescent="0.2">
      <c r="A204" s="24">
        <v>40848</v>
      </c>
      <c r="B204" s="25">
        <v>1.9466654000000001</v>
      </c>
      <c r="E204" s="24">
        <v>40848</v>
      </c>
      <c r="F204" s="25">
        <v>1.4747516000000001</v>
      </c>
      <c r="I204" s="24">
        <v>40848</v>
      </c>
      <c r="J204" s="25">
        <v>1.8026249999999999</v>
      </c>
    </row>
    <row r="205" spans="1:10" x14ac:dyDescent="0.2">
      <c r="A205" s="24">
        <v>40878</v>
      </c>
      <c r="B205" s="25">
        <v>1.9356323</v>
      </c>
      <c r="E205" s="24">
        <v>40878</v>
      </c>
      <c r="F205" s="25">
        <v>1.4738009999999999</v>
      </c>
      <c r="I205" s="24">
        <v>40878</v>
      </c>
      <c r="J205" s="25">
        <v>1.7943709000000001</v>
      </c>
    </row>
    <row r="206" spans="1:10" x14ac:dyDescent="0.2">
      <c r="A206" s="24">
        <v>40909</v>
      </c>
      <c r="B206" s="25">
        <v>1.9258105999999999</v>
      </c>
      <c r="E206" s="24">
        <v>40909</v>
      </c>
      <c r="F206" s="25">
        <v>1.4724214</v>
      </c>
      <c r="I206" s="24">
        <v>40909</v>
      </c>
      <c r="J206" s="25">
        <v>1.7843784</v>
      </c>
    </row>
    <row r="207" spans="1:10" x14ac:dyDescent="0.2">
      <c r="A207" s="24">
        <v>40940</v>
      </c>
      <c r="B207" s="25">
        <v>1.9160387999999999</v>
      </c>
      <c r="E207" s="24">
        <v>40940</v>
      </c>
      <c r="F207" s="25">
        <v>1.4711502999999999</v>
      </c>
      <c r="I207" s="24">
        <v>40940</v>
      </c>
      <c r="J207" s="25">
        <v>1.7728548</v>
      </c>
    </row>
    <row r="208" spans="1:10" x14ac:dyDescent="0.2">
      <c r="A208" s="24">
        <v>40969</v>
      </c>
      <c r="B208" s="25">
        <v>1.9085953</v>
      </c>
      <c r="E208" s="24">
        <v>40969</v>
      </c>
      <c r="F208" s="25">
        <v>1.4711502999999999</v>
      </c>
      <c r="I208" s="24">
        <v>40969</v>
      </c>
      <c r="J208" s="25">
        <v>1.7635083</v>
      </c>
    </row>
    <row r="209" spans="1:10" x14ac:dyDescent="0.2">
      <c r="A209" s="24">
        <v>41000</v>
      </c>
      <c r="B209" s="25">
        <v>1.9051659999999999</v>
      </c>
      <c r="E209" s="24">
        <v>41000</v>
      </c>
      <c r="F209" s="25">
        <v>1.4695807999999999</v>
      </c>
      <c r="I209" s="24">
        <v>41000</v>
      </c>
      <c r="J209" s="25">
        <v>1.7591105</v>
      </c>
    </row>
    <row r="210" spans="1:10" x14ac:dyDescent="0.2">
      <c r="A210" s="24">
        <v>41030</v>
      </c>
      <c r="B210" s="25">
        <v>1.8930505</v>
      </c>
      <c r="E210" s="24">
        <v>41030</v>
      </c>
      <c r="F210" s="25">
        <v>1.4692472999999999</v>
      </c>
      <c r="I210" s="24">
        <v>41030</v>
      </c>
      <c r="J210" s="25">
        <v>1.7515787</v>
      </c>
    </row>
    <row r="211" spans="1:10" x14ac:dyDescent="0.2">
      <c r="A211" s="24">
        <v>41061</v>
      </c>
      <c r="B211" s="25">
        <v>1.8826957</v>
      </c>
      <c r="E211" s="24">
        <v>41061</v>
      </c>
      <c r="F211" s="25">
        <v>1.4685600000000001</v>
      </c>
      <c r="I211" s="24">
        <v>41061</v>
      </c>
      <c r="J211" s="25">
        <v>1.742691</v>
      </c>
    </row>
    <row r="212" spans="1:10" x14ac:dyDescent="0.2">
      <c r="A212" s="24">
        <v>41091</v>
      </c>
      <c r="B212" s="25">
        <v>1.8778132999999999</v>
      </c>
      <c r="E212" s="24">
        <v>41091</v>
      </c>
      <c r="F212" s="25">
        <v>1.4685600000000001</v>
      </c>
      <c r="I212" s="24">
        <v>41091</v>
      </c>
      <c r="J212" s="25">
        <v>1.7395598000000001</v>
      </c>
    </row>
    <row r="213" spans="1:10" x14ac:dyDescent="0.2">
      <c r="A213" s="24">
        <v>41122</v>
      </c>
      <c r="B213" s="25">
        <v>1.8697733000000001</v>
      </c>
      <c r="E213" s="24">
        <v>41122</v>
      </c>
      <c r="F213" s="25">
        <v>1.4683485000000001</v>
      </c>
      <c r="I213" s="24">
        <v>41122</v>
      </c>
      <c r="J213" s="25">
        <v>1.7338381</v>
      </c>
    </row>
    <row r="214" spans="1:10" x14ac:dyDescent="0.2">
      <c r="A214" s="24">
        <v>41153</v>
      </c>
      <c r="B214" s="25">
        <v>1.861397</v>
      </c>
      <c r="E214" s="24">
        <v>41153</v>
      </c>
      <c r="F214" s="25">
        <v>1.4681679000000001</v>
      </c>
      <c r="I214" s="24">
        <v>41153</v>
      </c>
      <c r="J214" s="25">
        <v>1.7271023999999999</v>
      </c>
    </row>
    <row r="215" spans="1:10" x14ac:dyDescent="0.2">
      <c r="A215" s="24">
        <v>41183</v>
      </c>
      <c r="B215" s="25">
        <v>1.8497436</v>
      </c>
      <c r="E215" s="24">
        <v>41183</v>
      </c>
      <c r="F215" s="25">
        <v>1.4681679000000001</v>
      </c>
      <c r="I215" s="24">
        <v>41183</v>
      </c>
      <c r="J215" s="25">
        <v>1.7188519</v>
      </c>
    </row>
    <row r="216" spans="1:10" x14ac:dyDescent="0.2">
      <c r="A216" s="24">
        <v>41214</v>
      </c>
      <c r="B216" s="25">
        <v>1.8367031</v>
      </c>
      <c r="E216" s="24">
        <v>41214</v>
      </c>
      <c r="F216" s="25">
        <v>1.4681679000000001</v>
      </c>
      <c r="I216" s="24">
        <v>41214</v>
      </c>
      <c r="J216" s="25">
        <v>1.7077515000000001</v>
      </c>
    </row>
    <row r="217" spans="1:10" x14ac:dyDescent="0.2">
      <c r="A217" s="24">
        <v>41244</v>
      </c>
      <c r="B217" s="25">
        <v>1.8268381</v>
      </c>
      <c r="E217" s="24">
        <v>41244</v>
      </c>
      <c r="F217" s="25">
        <v>1.4681679000000001</v>
      </c>
      <c r="I217" s="24">
        <v>41244</v>
      </c>
      <c r="J217" s="25">
        <v>1.6985792</v>
      </c>
    </row>
    <row r="218" spans="1:10" x14ac:dyDescent="0.2">
      <c r="A218" s="24">
        <v>41275</v>
      </c>
      <c r="B218" s="25">
        <v>1.8134188</v>
      </c>
      <c r="E218" s="24">
        <v>41275</v>
      </c>
      <c r="F218" s="25">
        <v>1.4681679000000001</v>
      </c>
      <c r="I218" s="24">
        <v>41275</v>
      </c>
      <c r="J218" s="25">
        <v>1.6869392999999999</v>
      </c>
    </row>
    <row r="219" spans="1:10" x14ac:dyDescent="0.2">
      <c r="A219" s="24">
        <v>41306</v>
      </c>
      <c r="B219" s="25">
        <v>1.7968875</v>
      </c>
      <c r="E219" s="24">
        <v>41306</v>
      </c>
      <c r="F219" s="25">
        <v>1.4681679000000001</v>
      </c>
      <c r="I219" s="24">
        <v>41306</v>
      </c>
      <c r="J219" s="25">
        <v>1.6722237</v>
      </c>
    </row>
    <row r="220" spans="1:10" x14ac:dyDescent="0.2">
      <c r="A220" s="24">
        <v>41334</v>
      </c>
      <c r="B220" s="25">
        <v>1.7875920000000001</v>
      </c>
      <c r="E220" s="24">
        <v>41334</v>
      </c>
      <c r="F220" s="25">
        <v>1.4681679000000001</v>
      </c>
      <c r="I220" s="24">
        <v>41334</v>
      </c>
      <c r="J220" s="25">
        <v>1.6609293999999999</v>
      </c>
    </row>
    <row r="221" spans="1:10" x14ac:dyDescent="0.2">
      <c r="A221" s="24">
        <v>41365</v>
      </c>
      <c r="B221" s="25">
        <v>1.7769303999999999</v>
      </c>
      <c r="E221" s="24">
        <v>41365</v>
      </c>
      <c r="F221" s="25">
        <v>1.4681679000000001</v>
      </c>
      <c r="I221" s="24">
        <v>41365</v>
      </c>
      <c r="J221" s="25">
        <v>1.6528305000000001</v>
      </c>
    </row>
    <row r="222" spans="1:10" x14ac:dyDescent="0.2">
      <c r="A222" s="24">
        <v>41395</v>
      </c>
      <c r="B222" s="25">
        <v>1.766508</v>
      </c>
      <c r="E222" s="24">
        <v>41395</v>
      </c>
      <c r="F222" s="25">
        <v>1.4681679000000001</v>
      </c>
      <c r="I222" s="24">
        <v>41395</v>
      </c>
      <c r="J222" s="25">
        <v>1.6444439</v>
      </c>
    </row>
    <row r="223" spans="1:10" x14ac:dyDescent="0.2">
      <c r="A223" s="24">
        <v>41426</v>
      </c>
      <c r="B223" s="25">
        <v>1.7603468</v>
      </c>
      <c r="E223" s="24">
        <v>41426</v>
      </c>
      <c r="F223" s="25">
        <v>1.4681679000000001</v>
      </c>
      <c r="I223" s="24">
        <v>41426</v>
      </c>
      <c r="J223" s="25">
        <v>1.6369141</v>
      </c>
    </row>
    <row r="224" spans="1:10" x14ac:dyDescent="0.2">
      <c r="A224" s="24">
        <v>41456</v>
      </c>
      <c r="B224" s="25">
        <v>1.7554316000000001</v>
      </c>
      <c r="E224" s="24">
        <v>41456</v>
      </c>
      <c r="F224" s="25">
        <v>1.4681679000000001</v>
      </c>
      <c r="I224" s="24">
        <v>41456</v>
      </c>
      <c r="J224" s="25">
        <v>1.6307174</v>
      </c>
    </row>
    <row r="225" spans="1:10" x14ac:dyDescent="0.2">
      <c r="A225" s="24">
        <v>41487</v>
      </c>
      <c r="B225" s="25">
        <v>1.7577166</v>
      </c>
      <c r="E225" s="24">
        <v>41487</v>
      </c>
      <c r="F225" s="25">
        <v>1.4678612</v>
      </c>
      <c r="I225" s="24">
        <v>41487</v>
      </c>
      <c r="J225" s="25">
        <v>1.6295766</v>
      </c>
    </row>
    <row r="226" spans="1:10" x14ac:dyDescent="0.2">
      <c r="A226" s="24">
        <v>41518</v>
      </c>
      <c r="B226" s="25">
        <v>1.7549087999999999</v>
      </c>
      <c r="E226" s="24">
        <v>41518</v>
      </c>
      <c r="F226" s="25">
        <v>1.4678612</v>
      </c>
      <c r="I226" s="24">
        <v>41518</v>
      </c>
      <c r="J226" s="25">
        <v>1.6269735000000001</v>
      </c>
    </row>
    <row r="227" spans="1:10" x14ac:dyDescent="0.2">
      <c r="A227" s="24">
        <v>41548</v>
      </c>
      <c r="B227" s="25">
        <v>1.7501833</v>
      </c>
      <c r="E227" s="24">
        <v>41548</v>
      </c>
      <c r="F227" s="25">
        <v>1.4677452</v>
      </c>
      <c r="I227" s="24">
        <v>41548</v>
      </c>
      <c r="J227" s="25">
        <v>1.6225925000000001</v>
      </c>
    </row>
    <row r="228" spans="1:10" x14ac:dyDescent="0.2">
      <c r="A228" s="24">
        <v>41579</v>
      </c>
      <c r="B228" s="25">
        <v>1.7395719000000001</v>
      </c>
      <c r="E228" s="24">
        <v>41579</v>
      </c>
      <c r="F228" s="25">
        <v>1.4663961000000001</v>
      </c>
      <c r="I228" s="24">
        <v>41579</v>
      </c>
      <c r="J228" s="25">
        <v>1.6148412999999999</v>
      </c>
    </row>
    <row r="229" spans="1:10" x14ac:dyDescent="0.2">
      <c r="A229" s="24">
        <v>41609</v>
      </c>
      <c r="B229" s="25">
        <v>1.7302286</v>
      </c>
      <c r="E229" s="24">
        <v>41609</v>
      </c>
      <c r="F229" s="25">
        <v>1.4660926000000001</v>
      </c>
      <c r="I229" s="24">
        <v>41609</v>
      </c>
      <c r="J229" s="25">
        <v>1.6056888</v>
      </c>
    </row>
    <row r="230" spans="1:10" x14ac:dyDescent="0.2">
      <c r="A230" s="24">
        <v>41640</v>
      </c>
      <c r="B230" s="25">
        <v>1.7178599999999999</v>
      </c>
      <c r="E230" s="24">
        <v>41640</v>
      </c>
      <c r="F230" s="25">
        <v>1.4653688</v>
      </c>
      <c r="I230" s="24">
        <v>41640</v>
      </c>
      <c r="J230" s="25">
        <v>1.5937357999999999</v>
      </c>
    </row>
    <row r="231" spans="1:10" x14ac:dyDescent="0.2">
      <c r="A231" s="24">
        <v>41671</v>
      </c>
      <c r="B231" s="25">
        <v>1.7071053</v>
      </c>
      <c r="E231" s="24">
        <v>41671</v>
      </c>
      <c r="F231" s="25">
        <v>1.4637206</v>
      </c>
      <c r="I231" s="24">
        <v>41671</v>
      </c>
      <c r="J231" s="25">
        <v>1.5831287999999999</v>
      </c>
    </row>
    <row r="232" spans="1:10" x14ac:dyDescent="0.2">
      <c r="A232" s="24">
        <v>41699</v>
      </c>
      <c r="B232" s="25">
        <v>1.6962493000000001</v>
      </c>
      <c r="E232" s="24">
        <v>41699</v>
      </c>
      <c r="F232" s="25">
        <v>1.4629350000000001</v>
      </c>
      <c r="I232" s="24">
        <v>41699</v>
      </c>
      <c r="J232" s="25">
        <v>1.5721240000000001</v>
      </c>
    </row>
    <row r="233" spans="1:10" x14ac:dyDescent="0.2">
      <c r="A233" s="24">
        <v>41730</v>
      </c>
      <c r="B233" s="25">
        <v>1.6824532000000001</v>
      </c>
      <c r="E233" s="24">
        <v>41730</v>
      </c>
      <c r="F233" s="25">
        <v>1.4625459999999999</v>
      </c>
      <c r="I233" s="24">
        <v>41730</v>
      </c>
      <c r="J233" s="25">
        <v>1.5607306000000001</v>
      </c>
    </row>
    <row r="234" spans="1:10" x14ac:dyDescent="0.2">
      <c r="A234" s="24">
        <v>41760</v>
      </c>
      <c r="B234" s="25">
        <v>1.6694316</v>
      </c>
      <c r="E234" s="24">
        <v>41760</v>
      </c>
      <c r="F234" s="25">
        <v>1.461875</v>
      </c>
      <c r="I234" s="24">
        <v>41760</v>
      </c>
      <c r="J234" s="25">
        <v>1.5486511999999999</v>
      </c>
    </row>
    <row r="235" spans="1:10" x14ac:dyDescent="0.2">
      <c r="A235" s="24">
        <v>41791</v>
      </c>
      <c r="B235" s="25">
        <v>1.6594747999999999</v>
      </c>
      <c r="E235" s="24">
        <v>41791</v>
      </c>
      <c r="F235" s="25">
        <v>1.4609924999999999</v>
      </c>
      <c r="I235" s="24">
        <v>41791</v>
      </c>
      <c r="J235" s="25">
        <v>1.5397208</v>
      </c>
    </row>
    <row r="236" spans="1:10" x14ac:dyDescent="0.2">
      <c r="A236" s="24">
        <v>41821</v>
      </c>
      <c r="B236" s="25">
        <v>1.6551712999999999</v>
      </c>
      <c r="E236" s="24">
        <v>41821</v>
      </c>
      <c r="F236" s="25">
        <v>1.4603135</v>
      </c>
      <c r="I236" s="24">
        <v>41821</v>
      </c>
      <c r="J236" s="25">
        <v>1.532518</v>
      </c>
    </row>
    <row r="237" spans="1:10" x14ac:dyDescent="0.2">
      <c r="A237" s="24">
        <v>41852</v>
      </c>
      <c r="B237" s="25">
        <v>1.6530224</v>
      </c>
      <c r="E237" s="24">
        <v>41852</v>
      </c>
      <c r="F237" s="25">
        <v>1.4587759</v>
      </c>
      <c r="I237" s="24">
        <v>41852</v>
      </c>
      <c r="J237" s="25">
        <v>1.5299171</v>
      </c>
    </row>
    <row r="238" spans="1:10" x14ac:dyDescent="0.2">
      <c r="A238" s="24">
        <v>41883</v>
      </c>
      <c r="B238" s="25">
        <v>1.6500523</v>
      </c>
      <c r="E238" s="24">
        <v>41883</v>
      </c>
      <c r="F238" s="25">
        <v>1.4578983000000001</v>
      </c>
      <c r="I238" s="24">
        <v>41883</v>
      </c>
      <c r="J238" s="25">
        <v>1.5277782</v>
      </c>
    </row>
    <row r="239" spans="1:10" x14ac:dyDescent="0.2">
      <c r="A239" s="24">
        <v>41913</v>
      </c>
      <c r="B239" s="25">
        <v>1.6420064999999999</v>
      </c>
      <c r="E239" s="24">
        <v>41913</v>
      </c>
      <c r="F239" s="25">
        <v>1.4566266000000001</v>
      </c>
      <c r="I239" s="24">
        <v>41913</v>
      </c>
      <c r="J239" s="25">
        <v>1.5218430000000001</v>
      </c>
    </row>
    <row r="240" spans="1:10" x14ac:dyDescent="0.2">
      <c r="A240" s="24">
        <v>41944</v>
      </c>
      <c r="B240" s="25">
        <v>1.6357904999999999</v>
      </c>
      <c r="E240" s="24">
        <v>41944</v>
      </c>
      <c r="F240" s="25">
        <v>1.4551162</v>
      </c>
      <c r="I240" s="24">
        <v>41944</v>
      </c>
      <c r="J240" s="25">
        <v>1.5145731</v>
      </c>
    </row>
    <row r="241" spans="1:10" x14ac:dyDescent="0.2">
      <c r="A241" s="24">
        <v>41974</v>
      </c>
      <c r="B241" s="25">
        <v>1.6271665</v>
      </c>
      <c r="E241" s="24">
        <v>41974</v>
      </c>
      <c r="F241" s="25">
        <v>1.4544138</v>
      </c>
      <c r="I241" s="24">
        <v>41974</v>
      </c>
      <c r="J241" s="25">
        <v>1.5088394999999999</v>
      </c>
    </row>
    <row r="242" spans="1:10" x14ac:dyDescent="0.2">
      <c r="A242" s="24">
        <v>42005</v>
      </c>
      <c r="B242" s="25">
        <v>1.6171401999999999</v>
      </c>
      <c r="E242" s="24">
        <v>42005</v>
      </c>
      <c r="F242" s="25">
        <v>1.4528839</v>
      </c>
      <c r="I242" s="24">
        <v>42005</v>
      </c>
      <c r="J242" s="25">
        <v>1.4970131</v>
      </c>
    </row>
    <row r="243" spans="1:10" x14ac:dyDescent="0.2">
      <c r="A243" s="24">
        <v>42036</v>
      </c>
      <c r="B243" s="25">
        <v>1.5935556</v>
      </c>
      <c r="E243" s="24">
        <v>42036</v>
      </c>
      <c r="F243" s="25">
        <v>1.4516093999999999</v>
      </c>
      <c r="I243" s="24">
        <v>42036</v>
      </c>
      <c r="J243" s="25">
        <v>1.4838072</v>
      </c>
    </row>
    <row r="244" spans="1:10" x14ac:dyDescent="0.2">
      <c r="A244" s="24">
        <v>42064</v>
      </c>
      <c r="B244" s="25">
        <v>1.5752823</v>
      </c>
      <c r="E244" s="24">
        <v>42064</v>
      </c>
      <c r="F244" s="25">
        <v>1.4513655000000001</v>
      </c>
      <c r="I244" s="24">
        <v>42064</v>
      </c>
      <c r="J244" s="25">
        <v>1.4643316</v>
      </c>
    </row>
    <row r="245" spans="1:10" x14ac:dyDescent="0.2">
      <c r="A245" s="24">
        <v>42095</v>
      </c>
      <c r="B245" s="25">
        <v>1.5518494</v>
      </c>
      <c r="E245" s="24">
        <v>42095</v>
      </c>
      <c r="F245" s="25">
        <v>1.4463963</v>
      </c>
      <c r="I245" s="24">
        <v>42095</v>
      </c>
      <c r="J245" s="25">
        <v>1.4463963</v>
      </c>
    </row>
    <row r="246" spans="1:10" x14ac:dyDescent="0.2">
      <c r="A246" s="24">
        <v>42125</v>
      </c>
      <c r="B246" s="25">
        <v>1.5409089</v>
      </c>
      <c r="E246" s="24">
        <v>42125</v>
      </c>
      <c r="F246" s="25">
        <v>1.4310837000000001</v>
      </c>
      <c r="I246" s="24">
        <v>42125</v>
      </c>
      <c r="J246" s="25">
        <v>1.4310837000000001</v>
      </c>
    </row>
    <row r="247" spans="1:10" x14ac:dyDescent="0.2">
      <c r="A247" s="24">
        <v>42156</v>
      </c>
      <c r="B247" s="25">
        <v>1.5258035000000001</v>
      </c>
      <c r="E247" s="24">
        <v>42156</v>
      </c>
      <c r="F247" s="25">
        <v>1.4225483999999999</v>
      </c>
      <c r="I247" s="24">
        <v>42156</v>
      </c>
      <c r="J247" s="25">
        <v>1.4225483999999999</v>
      </c>
    </row>
    <row r="248" spans="1:10" x14ac:dyDescent="0.2">
      <c r="A248" s="24">
        <v>42186</v>
      </c>
      <c r="B248" s="25">
        <v>1.5141446000000001</v>
      </c>
      <c r="E248" s="24">
        <v>42186</v>
      </c>
      <c r="F248" s="25">
        <v>1.4086031999999999</v>
      </c>
      <c r="I248" s="24">
        <v>42186</v>
      </c>
      <c r="J248" s="25">
        <v>1.4086031999999999</v>
      </c>
    </row>
    <row r="249" spans="1:10" x14ac:dyDescent="0.2">
      <c r="A249" s="24">
        <v>42217</v>
      </c>
      <c r="B249" s="25">
        <v>1.5054132</v>
      </c>
      <c r="E249" s="24">
        <v>42217</v>
      </c>
      <c r="F249" s="25">
        <v>1.4003412</v>
      </c>
      <c r="I249" s="24">
        <v>42217</v>
      </c>
      <c r="J249" s="25">
        <v>1.4003412</v>
      </c>
    </row>
    <row r="250" spans="1:10" x14ac:dyDescent="0.2">
      <c r="A250" s="24">
        <v>42248</v>
      </c>
      <c r="B250" s="25">
        <v>1.5016590000000001</v>
      </c>
      <c r="E250" s="24">
        <v>42248</v>
      </c>
      <c r="F250" s="25">
        <v>1.3943455</v>
      </c>
      <c r="I250" s="24">
        <v>42248</v>
      </c>
      <c r="J250" s="25">
        <v>1.3943455</v>
      </c>
    </row>
    <row r="251" spans="1:10" x14ac:dyDescent="0.2">
      <c r="A251" s="24">
        <v>42278</v>
      </c>
      <c r="B251" s="25">
        <v>1.4940393999999999</v>
      </c>
      <c r="E251" s="24">
        <v>42278</v>
      </c>
      <c r="F251" s="25">
        <v>1.3889286999999999</v>
      </c>
      <c r="I251" s="24">
        <v>42278</v>
      </c>
      <c r="J251" s="25">
        <v>1.3889286999999999</v>
      </c>
    </row>
    <row r="252" spans="1:10" x14ac:dyDescent="0.2">
      <c r="A252" s="24">
        <v>42309</v>
      </c>
      <c r="B252" s="25">
        <v>1.4826231999999999</v>
      </c>
      <c r="E252" s="24">
        <v>42309</v>
      </c>
      <c r="F252" s="25">
        <v>1.3798219</v>
      </c>
      <c r="I252" s="24">
        <v>42309</v>
      </c>
      <c r="J252" s="25">
        <v>1.3798219</v>
      </c>
    </row>
    <row r="253" spans="1:10" x14ac:dyDescent="0.2">
      <c r="A253" s="24">
        <v>42339</v>
      </c>
      <c r="B253" s="25">
        <v>1.4663468</v>
      </c>
      <c r="E253" s="24">
        <v>42339</v>
      </c>
      <c r="F253" s="25">
        <v>1.3681922</v>
      </c>
      <c r="I253" s="24">
        <v>42339</v>
      </c>
      <c r="J253" s="25">
        <v>1.3681922</v>
      </c>
    </row>
    <row r="254" spans="1:10" x14ac:dyDescent="0.2">
      <c r="A254" s="24">
        <v>42370</v>
      </c>
      <c r="B254" s="25">
        <v>1.4532674000000001</v>
      </c>
      <c r="E254" s="24">
        <v>42370</v>
      </c>
      <c r="F254" s="25">
        <v>1.3522358000000001</v>
      </c>
      <c r="I254" s="24">
        <v>42370</v>
      </c>
      <c r="J254" s="25">
        <v>1.3522358000000001</v>
      </c>
    </row>
    <row r="255" spans="1:10" x14ac:dyDescent="0.2">
      <c r="A255" s="24">
        <v>42401</v>
      </c>
      <c r="B255" s="25">
        <v>1.4316495</v>
      </c>
      <c r="E255" s="24">
        <v>42401</v>
      </c>
      <c r="F255" s="25">
        <v>1.3399087000000001</v>
      </c>
      <c r="I255" s="24">
        <v>42401</v>
      </c>
      <c r="J255" s="25">
        <v>1.3399087000000001</v>
      </c>
    </row>
    <row r="256" spans="1:10" x14ac:dyDescent="0.2">
      <c r="A256" s="24">
        <v>42430</v>
      </c>
      <c r="B256" s="25">
        <v>1.4181767999999999</v>
      </c>
      <c r="E256" s="24">
        <v>42430</v>
      </c>
      <c r="F256" s="25">
        <v>1.3211484</v>
      </c>
      <c r="I256" s="24">
        <v>42430</v>
      </c>
      <c r="J256" s="25">
        <v>1.3211484</v>
      </c>
    </row>
    <row r="257" spans="1:10" x14ac:dyDescent="0.2">
      <c r="A257" s="24">
        <v>42461</v>
      </c>
      <c r="B257" s="25">
        <v>1.4119641000000001</v>
      </c>
      <c r="E257" s="24">
        <v>42461</v>
      </c>
      <c r="F257" s="25">
        <v>1.3154918</v>
      </c>
      <c r="I257" s="24">
        <v>42461</v>
      </c>
      <c r="J257" s="25">
        <v>1.3154918</v>
      </c>
    </row>
    <row r="258" spans="1:10" x14ac:dyDescent="0.2">
      <c r="A258" s="24">
        <v>42491</v>
      </c>
      <c r="B258" s="25">
        <v>1.4029849999999999</v>
      </c>
      <c r="E258" s="24">
        <v>42491</v>
      </c>
      <c r="F258" s="25">
        <v>1.3088168</v>
      </c>
      <c r="I258" s="24">
        <v>42491</v>
      </c>
      <c r="J258" s="25">
        <v>1.3088168</v>
      </c>
    </row>
    <row r="259" spans="1:10" x14ac:dyDescent="0.2">
      <c r="A259" s="24">
        <v>42522</v>
      </c>
      <c r="B259" s="25">
        <v>1.3893692</v>
      </c>
      <c r="E259" s="24">
        <v>42522</v>
      </c>
      <c r="F259" s="25">
        <v>1.2976569</v>
      </c>
      <c r="I259" s="24">
        <v>42522</v>
      </c>
      <c r="J259" s="25">
        <v>1.2976569</v>
      </c>
    </row>
    <row r="260" spans="1:10" x14ac:dyDescent="0.2">
      <c r="A260" s="24">
        <v>42552</v>
      </c>
      <c r="B260" s="25">
        <v>1.3828697000000001</v>
      </c>
      <c r="E260" s="24">
        <v>42552</v>
      </c>
      <c r="F260" s="25">
        <v>1.2924869999999999</v>
      </c>
      <c r="I260" s="24">
        <v>42552</v>
      </c>
      <c r="J260" s="25">
        <v>1.2924869999999999</v>
      </c>
    </row>
    <row r="261" spans="1:10" x14ac:dyDescent="0.2">
      <c r="A261" s="24">
        <v>42583</v>
      </c>
      <c r="B261" s="25">
        <v>1.3740756000000001</v>
      </c>
      <c r="E261" s="24">
        <v>42583</v>
      </c>
      <c r="F261" s="25">
        <v>1.2855451</v>
      </c>
      <c r="I261" s="24">
        <v>42583</v>
      </c>
      <c r="J261" s="25">
        <v>1.2855451</v>
      </c>
    </row>
    <row r="262" spans="1:10" x14ac:dyDescent="0.2">
      <c r="A262" s="24">
        <v>42614</v>
      </c>
      <c r="B262" s="25">
        <v>1.3698292000000001</v>
      </c>
      <c r="E262" s="24">
        <v>42614</v>
      </c>
      <c r="F262" s="25">
        <v>1.2797860000000001</v>
      </c>
      <c r="I262" s="24">
        <v>42614</v>
      </c>
      <c r="J262" s="25">
        <v>1.2797860000000001</v>
      </c>
    </row>
    <row r="263" spans="1:10" x14ac:dyDescent="0.2">
      <c r="A263" s="24">
        <v>42644</v>
      </c>
      <c r="B263" s="25">
        <v>1.3687342</v>
      </c>
      <c r="E263" s="24">
        <v>42644</v>
      </c>
      <c r="F263" s="25">
        <v>1.2768493000000001</v>
      </c>
      <c r="I263" s="24">
        <v>42644</v>
      </c>
      <c r="J263" s="25">
        <v>1.2768493000000001</v>
      </c>
    </row>
    <row r="264" spans="1:10" x14ac:dyDescent="0.2">
      <c r="A264" s="24">
        <v>42675</v>
      </c>
      <c r="B264" s="25">
        <v>1.3664113</v>
      </c>
      <c r="E264" s="24">
        <v>42675</v>
      </c>
      <c r="F264" s="25">
        <v>1.2744279000000001</v>
      </c>
      <c r="I264" s="24">
        <v>42675</v>
      </c>
      <c r="J264" s="25">
        <v>1.2744279000000001</v>
      </c>
    </row>
    <row r="265" spans="1:10" x14ac:dyDescent="0.2">
      <c r="A265" s="24">
        <v>42705</v>
      </c>
      <c r="B265" s="25">
        <v>1.3654554999999999</v>
      </c>
      <c r="E265" s="24">
        <v>42705</v>
      </c>
      <c r="F265" s="25">
        <v>1.2711228999999999</v>
      </c>
      <c r="I265" s="24">
        <v>42705</v>
      </c>
      <c r="J265" s="25">
        <v>1.2711228999999999</v>
      </c>
    </row>
    <row r="266" spans="1:10" x14ac:dyDescent="0.2">
      <c r="A266" s="24">
        <v>42736</v>
      </c>
      <c r="B266" s="25">
        <v>1.3635465</v>
      </c>
      <c r="E266" s="24">
        <v>42736</v>
      </c>
      <c r="F266" s="25">
        <v>1.2687124000000001</v>
      </c>
      <c r="I266" s="24">
        <v>42736</v>
      </c>
      <c r="J266" s="25">
        <v>1.2687124000000001</v>
      </c>
    </row>
    <row r="267" spans="1:10" x14ac:dyDescent="0.2">
      <c r="A267" s="24">
        <v>42767</v>
      </c>
      <c r="B267" s="25">
        <v>1.3578436</v>
      </c>
      <c r="E267" s="24">
        <v>42767</v>
      </c>
      <c r="F267" s="25">
        <v>1.2647915000000001</v>
      </c>
      <c r="I267" s="24">
        <v>42767</v>
      </c>
      <c r="J267" s="25">
        <v>1.2647915000000001</v>
      </c>
    </row>
    <row r="268" spans="1:10" x14ac:dyDescent="0.2">
      <c r="A268" s="24">
        <v>42795</v>
      </c>
      <c r="B268" s="25">
        <v>1.3545925000000001</v>
      </c>
      <c r="E268" s="24">
        <v>42795</v>
      </c>
      <c r="F268" s="25">
        <v>1.2579982999999999</v>
      </c>
      <c r="I268" s="24">
        <v>42795</v>
      </c>
      <c r="J268" s="25">
        <v>1.2579982999999999</v>
      </c>
    </row>
    <row r="269" spans="1:10" x14ac:dyDescent="0.2">
      <c r="A269" s="24">
        <v>42826</v>
      </c>
      <c r="B269" s="25">
        <v>1.3502717</v>
      </c>
      <c r="E269" s="24">
        <v>42826</v>
      </c>
      <c r="F269" s="25">
        <v>1.2561142000000001</v>
      </c>
      <c r="I269" s="24">
        <v>42826</v>
      </c>
      <c r="J269" s="25">
        <v>1.2561142000000001</v>
      </c>
    </row>
    <row r="270" spans="1:10" x14ac:dyDescent="0.2">
      <c r="A270" s="24">
        <v>42856</v>
      </c>
      <c r="B270" s="25">
        <v>1.3491922999999999</v>
      </c>
      <c r="E270" s="24">
        <v>42856</v>
      </c>
      <c r="F270" s="25">
        <v>1.2534818999999999</v>
      </c>
      <c r="I270" s="24">
        <v>42856</v>
      </c>
      <c r="J270" s="25">
        <v>1.2534818999999999</v>
      </c>
    </row>
    <row r="271" spans="1:10" x14ac:dyDescent="0.2">
      <c r="A271" s="24">
        <v>42887</v>
      </c>
      <c r="B271" s="25">
        <v>1.3443525999999999</v>
      </c>
      <c r="E271" s="24">
        <v>42887</v>
      </c>
      <c r="F271" s="25">
        <v>1.2504807</v>
      </c>
      <c r="I271" s="24">
        <v>42887</v>
      </c>
      <c r="J271" s="25">
        <v>1.2504807</v>
      </c>
    </row>
    <row r="272" spans="1:10" x14ac:dyDescent="0.2">
      <c r="A272" s="24">
        <v>42917</v>
      </c>
      <c r="B272" s="25">
        <v>1.3483978000000001</v>
      </c>
      <c r="E272" s="24">
        <v>42917</v>
      </c>
      <c r="F272" s="25">
        <v>1.2484831000000001</v>
      </c>
      <c r="I272" s="24">
        <v>42917</v>
      </c>
      <c r="J272" s="25">
        <v>1.2484831000000001</v>
      </c>
    </row>
    <row r="273" spans="1:10" x14ac:dyDescent="0.2">
      <c r="A273" s="24">
        <v>42948</v>
      </c>
      <c r="B273" s="25">
        <v>1.3461094</v>
      </c>
      <c r="E273" s="24">
        <v>42948</v>
      </c>
      <c r="F273" s="25">
        <v>1.2507344</v>
      </c>
      <c r="I273" s="24">
        <v>42948</v>
      </c>
      <c r="J273" s="25">
        <v>1.2507344</v>
      </c>
    </row>
    <row r="274" spans="1:10" x14ac:dyDescent="0.2">
      <c r="A274" s="24">
        <v>42979</v>
      </c>
      <c r="B274" s="25">
        <v>1.3465134000000001</v>
      </c>
      <c r="E274" s="24">
        <v>42979</v>
      </c>
      <c r="F274" s="25">
        <v>1.2463721000000001</v>
      </c>
      <c r="I274" s="24">
        <v>42979</v>
      </c>
      <c r="J274" s="25">
        <v>1.2463721000000001</v>
      </c>
    </row>
    <row r="275" spans="1:10" x14ac:dyDescent="0.2">
      <c r="A275" s="24">
        <v>43009</v>
      </c>
      <c r="B275" s="25">
        <v>1.3467827999999999</v>
      </c>
      <c r="E275" s="24">
        <v>43009</v>
      </c>
      <c r="F275" s="25">
        <v>1.2450026000000001</v>
      </c>
      <c r="I275" s="24">
        <v>43009</v>
      </c>
      <c r="J275" s="25">
        <v>1.2450026000000001</v>
      </c>
    </row>
    <row r="276" spans="1:10" x14ac:dyDescent="0.2">
      <c r="A276" s="24">
        <v>43040</v>
      </c>
      <c r="B276" s="25">
        <v>1.341818</v>
      </c>
      <c r="E276" s="24">
        <v>43040</v>
      </c>
      <c r="F276" s="25">
        <v>1.2407840000000001</v>
      </c>
      <c r="I276" s="24">
        <v>43040</v>
      </c>
      <c r="J276" s="25">
        <v>1.2407840000000001</v>
      </c>
    </row>
    <row r="277" spans="1:10" x14ac:dyDescent="0.2">
      <c r="A277" s="24">
        <v>43070</v>
      </c>
      <c r="B277" s="25">
        <v>1.3394071000000001</v>
      </c>
      <c r="E277" s="24">
        <v>43070</v>
      </c>
      <c r="F277" s="25">
        <v>1.2368261</v>
      </c>
      <c r="I277" s="24">
        <v>43070</v>
      </c>
      <c r="J277" s="25">
        <v>1.2368261</v>
      </c>
    </row>
    <row r="278" spans="1:10" x14ac:dyDescent="0.2">
      <c r="A278" s="24">
        <v>43101</v>
      </c>
      <c r="B278" s="25">
        <v>1.3359337</v>
      </c>
      <c r="E278" s="24">
        <v>43101</v>
      </c>
      <c r="F278" s="25">
        <v>1.2325123</v>
      </c>
      <c r="I278" s="24">
        <v>43101</v>
      </c>
      <c r="J278" s="25">
        <v>1.2325123</v>
      </c>
    </row>
    <row r="279" spans="1:10" x14ac:dyDescent="0.2">
      <c r="A279" s="24">
        <v>43132</v>
      </c>
      <c r="B279" s="25">
        <v>1.3328681</v>
      </c>
      <c r="E279" s="24">
        <v>43132</v>
      </c>
      <c r="F279" s="25">
        <v>1.2277241999999999</v>
      </c>
      <c r="I279" s="24">
        <v>43132</v>
      </c>
      <c r="J279" s="25">
        <v>1.2277241999999999</v>
      </c>
    </row>
    <row r="280" spans="1:10" x14ac:dyDescent="0.2">
      <c r="A280" s="24">
        <v>43160</v>
      </c>
      <c r="B280" s="25">
        <v>1.3304731999999999</v>
      </c>
      <c r="E280" s="24">
        <v>43160</v>
      </c>
      <c r="F280" s="25">
        <v>1.2230764999999999</v>
      </c>
      <c r="I280" s="24">
        <v>43160</v>
      </c>
      <c r="J280" s="25">
        <v>1.2230764999999999</v>
      </c>
    </row>
    <row r="281" spans="1:10" x14ac:dyDescent="0.2">
      <c r="A281" s="24">
        <v>43191</v>
      </c>
      <c r="B281" s="25">
        <v>1.3295425000000001</v>
      </c>
      <c r="E281" s="24">
        <v>43191</v>
      </c>
      <c r="F281" s="25">
        <v>1.2218547</v>
      </c>
      <c r="I281" s="24">
        <v>43191</v>
      </c>
      <c r="J281" s="25">
        <v>1.2218547</v>
      </c>
    </row>
    <row r="282" spans="1:10" x14ac:dyDescent="0.2">
      <c r="A282" s="24">
        <v>43221</v>
      </c>
      <c r="B282" s="25">
        <v>1.3267564000000001</v>
      </c>
      <c r="E282" s="24">
        <v>43221</v>
      </c>
      <c r="F282" s="25">
        <v>1.2192942</v>
      </c>
      <c r="I282" s="24">
        <v>43221</v>
      </c>
      <c r="J282" s="25">
        <v>1.2192942</v>
      </c>
    </row>
    <row r="283" spans="1:10" x14ac:dyDescent="0.2">
      <c r="A283" s="24">
        <v>43252</v>
      </c>
      <c r="B283" s="25">
        <v>1.3210757</v>
      </c>
      <c r="E283" s="24">
        <v>43252</v>
      </c>
      <c r="F283" s="25">
        <v>1.2175895000000001</v>
      </c>
      <c r="I283" s="24">
        <v>43252</v>
      </c>
      <c r="J283" s="25">
        <v>1.2175895000000001</v>
      </c>
    </row>
    <row r="284" spans="1:10" x14ac:dyDescent="0.2">
      <c r="A284" s="24">
        <v>43282</v>
      </c>
      <c r="B284" s="25">
        <v>1.3024507000000001</v>
      </c>
      <c r="E284" s="24">
        <v>43282</v>
      </c>
      <c r="F284" s="25">
        <v>1.2042227000000001</v>
      </c>
      <c r="I284" s="24">
        <v>43282</v>
      </c>
      <c r="J284" s="25">
        <v>1.2042227000000001</v>
      </c>
    </row>
    <row r="285" spans="1:10" x14ac:dyDescent="0.2">
      <c r="A285" s="24">
        <v>43313</v>
      </c>
      <c r="B285" s="25">
        <v>1.2992026999999999</v>
      </c>
      <c r="E285" s="24">
        <v>43313</v>
      </c>
      <c r="F285" s="25">
        <v>1.1965646000000001</v>
      </c>
      <c r="I285" s="24">
        <v>43313</v>
      </c>
      <c r="J285" s="25">
        <v>1.1965646000000001</v>
      </c>
    </row>
    <row r="286" spans="1:10" x14ac:dyDescent="0.2">
      <c r="A286" s="24">
        <v>43344</v>
      </c>
      <c r="B286" s="25">
        <v>1.2992026999999999</v>
      </c>
      <c r="E286" s="24">
        <v>43344</v>
      </c>
      <c r="F286" s="25">
        <v>1.1950111000000001</v>
      </c>
      <c r="I286" s="24">
        <v>43344</v>
      </c>
      <c r="J286" s="25">
        <v>1.1950111000000001</v>
      </c>
    </row>
    <row r="287" spans="1:10" x14ac:dyDescent="0.2">
      <c r="A287" s="24">
        <v>43374</v>
      </c>
      <c r="B287" s="25">
        <v>1.2953167000000001</v>
      </c>
      <c r="E287" s="24">
        <v>43374</v>
      </c>
      <c r="F287" s="25">
        <v>1.1939366</v>
      </c>
      <c r="I287" s="24">
        <v>43374</v>
      </c>
      <c r="J287" s="25">
        <v>1.1939366</v>
      </c>
    </row>
    <row r="288" spans="1:10" x14ac:dyDescent="0.2">
      <c r="A288" s="24">
        <v>43405</v>
      </c>
      <c r="B288" s="25">
        <v>1.2901560999999999</v>
      </c>
      <c r="E288" s="24">
        <v>43405</v>
      </c>
      <c r="F288" s="25">
        <v>1.1870517</v>
      </c>
      <c r="I288" s="24">
        <v>43405</v>
      </c>
      <c r="J288" s="25">
        <v>1.1870517</v>
      </c>
    </row>
    <row r="289" spans="1:10" x14ac:dyDescent="0.2">
      <c r="A289" s="24">
        <v>43435</v>
      </c>
      <c r="B289" s="25">
        <v>1.2933896</v>
      </c>
      <c r="E289" s="24">
        <v>43435</v>
      </c>
      <c r="F289" s="25">
        <v>1.1848006</v>
      </c>
      <c r="I289" s="24">
        <v>43435</v>
      </c>
      <c r="J289" s="25">
        <v>1.1848006</v>
      </c>
    </row>
    <row r="290" spans="1:10" x14ac:dyDescent="0.2">
      <c r="A290" s="24">
        <v>43466</v>
      </c>
      <c r="B290" s="25">
        <v>1.2915814000000001</v>
      </c>
      <c r="E290" s="24">
        <v>43466</v>
      </c>
      <c r="F290" s="25">
        <v>1.1866992999999999</v>
      </c>
      <c r="I290" s="24">
        <v>43466</v>
      </c>
      <c r="J290" s="25">
        <v>1.1866992999999999</v>
      </c>
    </row>
    <row r="291" spans="1:10" x14ac:dyDescent="0.2">
      <c r="A291" s="24">
        <v>43497</v>
      </c>
      <c r="B291" s="25">
        <v>1.2869482999999999</v>
      </c>
      <c r="E291" s="24">
        <v>43497</v>
      </c>
      <c r="F291" s="25">
        <v>1.1831498</v>
      </c>
      <c r="I291" s="24">
        <v>43497</v>
      </c>
      <c r="J291" s="25">
        <v>1.1831498</v>
      </c>
    </row>
    <row r="292" spans="1:10" x14ac:dyDescent="0.2">
      <c r="A292" s="24">
        <v>43525</v>
      </c>
      <c r="B292" s="25">
        <v>1.2800362000000001</v>
      </c>
      <c r="E292" s="24">
        <v>43525</v>
      </c>
      <c r="F292" s="25">
        <v>1.1791408000000001</v>
      </c>
      <c r="I292" s="24">
        <v>43525</v>
      </c>
      <c r="J292" s="25">
        <v>1.1791408000000001</v>
      </c>
    </row>
    <row r="293" spans="1:10" x14ac:dyDescent="0.2">
      <c r="A293" s="24">
        <v>43556</v>
      </c>
      <c r="B293" s="25">
        <v>1.2702552</v>
      </c>
      <c r="E293" s="24">
        <v>43556</v>
      </c>
      <c r="F293" s="25">
        <v>1.1728076000000001</v>
      </c>
      <c r="I293" s="24">
        <v>43556</v>
      </c>
      <c r="J293" s="25">
        <v>1.1728076000000001</v>
      </c>
    </row>
    <row r="294" spans="1:10" x14ac:dyDescent="0.2">
      <c r="A294" s="24">
        <v>43586</v>
      </c>
      <c r="B294" s="25">
        <v>1.2626790999999999</v>
      </c>
      <c r="E294" s="24">
        <v>43586</v>
      </c>
      <c r="F294" s="25">
        <v>1.1644237</v>
      </c>
      <c r="I294" s="24">
        <v>43586</v>
      </c>
      <c r="J294" s="25">
        <v>1.1644237</v>
      </c>
    </row>
    <row r="295" spans="1:10" x14ac:dyDescent="0.2">
      <c r="A295" s="24">
        <v>43617</v>
      </c>
      <c r="B295" s="25">
        <v>1.2607879</v>
      </c>
      <c r="E295" s="24">
        <v>43617</v>
      </c>
      <c r="F295" s="25">
        <v>1.1603625</v>
      </c>
      <c r="I295" s="24">
        <v>43617</v>
      </c>
      <c r="J295" s="25">
        <v>1.1603625</v>
      </c>
    </row>
    <row r="296" spans="1:10" x14ac:dyDescent="0.2">
      <c r="A296" s="24">
        <v>43647</v>
      </c>
      <c r="B296" s="25">
        <v>1.2606618999999999</v>
      </c>
      <c r="E296" s="24">
        <v>43647</v>
      </c>
      <c r="F296" s="25">
        <v>1.1596667000000001</v>
      </c>
      <c r="I296" s="24">
        <v>43647</v>
      </c>
      <c r="J296" s="25">
        <v>1.1596667000000001</v>
      </c>
    </row>
    <row r="297" spans="1:10" x14ac:dyDescent="0.2">
      <c r="A297" s="24">
        <v>43678</v>
      </c>
      <c r="B297" s="25">
        <v>1.2594025</v>
      </c>
      <c r="E297" s="24">
        <v>43678</v>
      </c>
      <c r="F297" s="25">
        <v>1.1586239</v>
      </c>
      <c r="I297" s="24">
        <v>43678</v>
      </c>
      <c r="J297" s="25">
        <v>1.1586239</v>
      </c>
    </row>
    <row r="298" spans="1:10" x14ac:dyDescent="0.2">
      <c r="A298" s="24">
        <v>43709</v>
      </c>
      <c r="B298" s="25">
        <v>1.2578929999999999</v>
      </c>
      <c r="E298" s="24">
        <v>43709</v>
      </c>
      <c r="F298" s="25">
        <v>1.1576978</v>
      </c>
      <c r="I298" s="24">
        <v>43709</v>
      </c>
      <c r="J298" s="25">
        <v>1.1576978</v>
      </c>
    </row>
    <row r="299" spans="1:10" x14ac:dyDescent="0.2">
      <c r="A299" s="24">
        <v>43739</v>
      </c>
      <c r="B299" s="25">
        <v>1.2585223000000001</v>
      </c>
      <c r="E299" s="24">
        <v>43739</v>
      </c>
      <c r="F299" s="25">
        <v>1.1566567999999999</v>
      </c>
      <c r="I299" s="24">
        <v>43739</v>
      </c>
      <c r="J299" s="25">
        <v>1.1566567999999999</v>
      </c>
    </row>
    <row r="300" spans="1:10" x14ac:dyDescent="0.2">
      <c r="A300" s="24">
        <v>43770</v>
      </c>
      <c r="B300" s="25">
        <v>1.258019</v>
      </c>
      <c r="E300" s="24">
        <v>43770</v>
      </c>
      <c r="F300" s="25">
        <v>1.1556166999999999</v>
      </c>
      <c r="I300" s="24">
        <v>43770</v>
      </c>
      <c r="J300" s="25">
        <v>1.1556166999999999</v>
      </c>
    </row>
    <row r="301" spans="1:10" x14ac:dyDescent="0.2">
      <c r="A301" s="24">
        <v>43800</v>
      </c>
      <c r="B301" s="25">
        <v>1.2512622</v>
      </c>
      <c r="E301" s="24">
        <v>43800</v>
      </c>
      <c r="F301" s="25">
        <v>1.1540010999999999</v>
      </c>
      <c r="I301" s="24">
        <v>43800</v>
      </c>
      <c r="J301" s="25">
        <v>1.1540010999999999</v>
      </c>
    </row>
    <row r="302" spans="1:10" x14ac:dyDescent="0.2">
      <c r="A302" s="24">
        <v>43831</v>
      </c>
      <c r="B302" s="25">
        <v>1.2361808000000001</v>
      </c>
      <c r="E302" s="24">
        <v>43831</v>
      </c>
      <c r="F302" s="25">
        <v>1.14201</v>
      </c>
      <c r="I302" s="24">
        <v>43831</v>
      </c>
      <c r="J302" s="25">
        <v>1.14201</v>
      </c>
    </row>
    <row r="303" spans="1:10" x14ac:dyDescent="0.2">
      <c r="A303" s="24">
        <v>43862</v>
      </c>
      <c r="B303" s="25">
        <v>1.2338365</v>
      </c>
      <c r="E303" s="24">
        <v>43862</v>
      </c>
      <c r="F303" s="25">
        <v>1.1339589000000001</v>
      </c>
      <c r="I303" s="24">
        <v>43862</v>
      </c>
      <c r="J303" s="25">
        <v>1.1339589000000001</v>
      </c>
    </row>
    <row r="304" spans="1:10" x14ac:dyDescent="0.2">
      <c r="A304" s="24">
        <v>43891</v>
      </c>
      <c r="B304" s="25">
        <v>1.2317426</v>
      </c>
      <c r="E304" s="24">
        <v>43891</v>
      </c>
      <c r="F304" s="25">
        <v>1.1314697</v>
      </c>
      <c r="I304" s="24">
        <v>43891</v>
      </c>
      <c r="J304" s="25">
        <v>1.1314697</v>
      </c>
    </row>
    <row r="305" spans="1:10" x14ac:dyDescent="0.2">
      <c r="A305" s="24">
        <v>43922</v>
      </c>
      <c r="B305" s="25">
        <v>1.2295294000000001</v>
      </c>
      <c r="E305" s="24">
        <v>43922</v>
      </c>
      <c r="F305" s="25">
        <v>1.1312434</v>
      </c>
      <c r="I305" s="24">
        <v>43922</v>
      </c>
      <c r="J305" s="25">
        <v>1.1312434</v>
      </c>
    </row>
    <row r="306" spans="1:10" x14ac:dyDescent="0.2">
      <c r="A306" s="24">
        <v>43952</v>
      </c>
      <c r="B306" s="25">
        <v>1.2323639</v>
      </c>
      <c r="E306" s="24">
        <v>43952</v>
      </c>
      <c r="F306" s="25">
        <v>1.1313565000000001</v>
      </c>
      <c r="I306" s="24">
        <v>43952</v>
      </c>
      <c r="J306" s="25">
        <v>1.1313565000000001</v>
      </c>
    </row>
    <row r="307" spans="1:10" x14ac:dyDescent="0.2">
      <c r="A307" s="24">
        <v>43983</v>
      </c>
      <c r="B307" s="25">
        <v>1.2354525000000001</v>
      </c>
      <c r="E307" s="24">
        <v>43983</v>
      </c>
      <c r="F307" s="25">
        <v>1.1380711999999999</v>
      </c>
      <c r="I307" s="24">
        <v>43983</v>
      </c>
      <c r="J307" s="25">
        <v>1.1380711999999999</v>
      </c>
    </row>
    <row r="308" spans="1:10" x14ac:dyDescent="0.2">
      <c r="A308" s="24">
        <v>44013</v>
      </c>
      <c r="B308" s="25">
        <v>1.2317572000000001</v>
      </c>
      <c r="E308" s="24">
        <v>44013</v>
      </c>
      <c r="F308" s="25">
        <v>1.1378436000000001</v>
      </c>
      <c r="I308" s="24">
        <v>44013</v>
      </c>
      <c r="J308" s="25">
        <v>1.1378436000000001</v>
      </c>
    </row>
    <row r="309" spans="1:10" x14ac:dyDescent="0.2">
      <c r="A309" s="24">
        <v>44044</v>
      </c>
      <c r="B309" s="25">
        <v>1.2263611999999999</v>
      </c>
      <c r="E309" s="24">
        <v>44044</v>
      </c>
      <c r="F309" s="25">
        <v>1.1344403000000001</v>
      </c>
      <c r="I309" s="24">
        <v>44044</v>
      </c>
      <c r="J309" s="25">
        <v>1.1344403000000001</v>
      </c>
    </row>
    <row r="310" spans="1:10" x14ac:dyDescent="0.2">
      <c r="A310" s="24">
        <v>44075</v>
      </c>
      <c r="B310" s="25">
        <v>1.2219622000000001</v>
      </c>
      <c r="E310" s="24">
        <v>44075</v>
      </c>
      <c r="F310" s="25">
        <v>1.1318371</v>
      </c>
      <c r="I310" s="24">
        <v>44075</v>
      </c>
      <c r="J310" s="25">
        <v>1.1318371</v>
      </c>
    </row>
    <row r="311" spans="1:10" x14ac:dyDescent="0.2">
      <c r="A311" s="24">
        <v>44105</v>
      </c>
      <c r="B311" s="25">
        <v>1.2114228</v>
      </c>
      <c r="E311" s="24">
        <v>44105</v>
      </c>
      <c r="F311" s="25">
        <v>1.1267666000000001</v>
      </c>
      <c r="I311" s="24">
        <v>44105</v>
      </c>
      <c r="J311" s="25">
        <v>1.1267666000000001</v>
      </c>
    </row>
    <row r="312" spans="1:10" x14ac:dyDescent="0.2">
      <c r="A312" s="24">
        <v>44136</v>
      </c>
      <c r="B312" s="25">
        <v>1.2007361999999999</v>
      </c>
      <c r="E312" s="24">
        <v>44136</v>
      </c>
      <c r="F312" s="25">
        <v>1.1162736</v>
      </c>
      <c r="I312" s="24">
        <v>44136</v>
      </c>
      <c r="J312" s="25">
        <v>1.1162736</v>
      </c>
    </row>
    <row r="313" spans="1:10" x14ac:dyDescent="0.2">
      <c r="A313" s="24">
        <v>44166</v>
      </c>
      <c r="B313" s="25">
        <v>1.1894366000000001</v>
      </c>
      <c r="E313" s="24">
        <v>44166</v>
      </c>
      <c r="F313" s="25">
        <v>1.1073044999999999</v>
      </c>
      <c r="I313" s="24">
        <v>44166</v>
      </c>
      <c r="J313" s="25">
        <v>1.1073044999999999</v>
      </c>
    </row>
    <row r="314" spans="1:10" x14ac:dyDescent="0.2">
      <c r="A314" s="24">
        <v>44197</v>
      </c>
      <c r="B314" s="25">
        <v>1.1723207</v>
      </c>
      <c r="E314" s="24">
        <v>44197</v>
      </c>
      <c r="F314" s="25">
        <v>1.0956900999999999</v>
      </c>
      <c r="I314" s="24">
        <v>44197</v>
      </c>
      <c r="J314" s="25">
        <v>1.0956900999999999</v>
      </c>
    </row>
    <row r="315" spans="1:10" x14ac:dyDescent="0.2">
      <c r="A315" s="24">
        <v>44228</v>
      </c>
      <c r="B315" s="25">
        <v>1.1691640000000001</v>
      </c>
      <c r="E315" s="24">
        <v>44228</v>
      </c>
      <c r="F315" s="25">
        <v>1.0872099</v>
      </c>
      <c r="I315" s="24">
        <v>44228</v>
      </c>
      <c r="J315" s="25">
        <v>1.0872099</v>
      </c>
    </row>
    <row r="316" spans="1:10" x14ac:dyDescent="0.2">
      <c r="A316" s="24">
        <v>44256</v>
      </c>
      <c r="B316" s="25">
        <v>1.1596548</v>
      </c>
      <c r="E316" s="24">
        <v>44256</v>
      </c>
      <c r="F316" s="25">
        <v>1.0820162</v>
      </c>
      <c r="I316" s="24">
        <v>44256</v>
      </c>
      <c r="J316" s="25">
        <v>1.0820162</v>
      </c>
    </row>
    <row r="317" spans="1:10" x14ac:dyDescent="0.2">
      <c r="A317" s="24">
        <v>44287</v>
      </c>
      <c r="B317" s="25">
        <v>1.1497668000000001</v>
      </c>
      <c r="E317" s="24">
        <v>44287</v>
      </c>
      <c r="F317" s="25">
        <v>1.0720461999999999</v>
      </c>
      <c r="I317" s="24">
        <v>44287</v>
      </c>
      <c r="J317" s="25">
        <v>1.0720461999999999</v>
      </c>
    </row>
    <row r="318" spans="1:10" x14ac:dyDescent="0.2">
      <c r="A318" s="24">
        <v>44317</v>
      </c>
      <c r="B318" s="25">
        <v>1.1454142</v>
      </c>
      <c r="E318" s="24">
        <v>44317</v>
      </c>
      <c r="F318" s="25">
        <v>1.0656523</v>
      </c>
      <c r="I318" s="24">
        <v>44317</v>
      </c>
      <c r="J318" s="25">
        <v>1.0656523</v>
      </c>
    </row>
    <row r="319" spans="1:10" x14ac:dyDescent="0.2">
      <c r="A319" s="24">
        <v>44348</v>
      </c>
      <c r="B319" s="25">
        <v>1.1345228000000001</v>
      </c>
      <c r="E319" s="24">
        <v>44348</v>
      </c>
      <c r="F319" s="25">
        <v>1.0609839999999999</v>
      </c>
      <c r="I319" s="24">
        <v>44348</v>
      </c>
      <c r="J319" s="25">
        <v>1.0609839999999999</v>
      </c>
    </row>
    <row r="320" spans="1:10" x14ac:dyDescent="0.2">
      <c r="A320" s="24">
        <v>44378</v>
      </c>
      <c r="B320" s="25">
        <v>1.1277562999999999</v>
      </c>
      <c r="E320" s="24">
        <v>44378</v>
      </c>
      <c r="F320" s="25">
        <v>1.0522503000000001</v>
      </c>
      <c r="I320" s="24">
        <v>44378</v>
      </c>
      <c r="J320" s="25">
        <v>1.0522503000000001</v>
      </c>
    </row>
    <row r="321" spans="1:10" x14ac:dyDescent="0.2">
      <c r="A321" s="24">
        <v>44409</v>
      </c>
      <c r="B321" s="25">
        <v>1.1163692999999999</v>
      </c>
      <c r="E321" s="24">
        <v>44409</v>
      </c>
      <c r="F321" s="25">
        <v>1.0447282</v>
      </c>
      <c r="I321" s="24">
        <v>44409</v>
      </c>
      <c r="J321" s="25">
        <v>1.0447282</v>
      </c>
    </row>
    <row r="322" spans="1:10" x14ac:dyDescent="0.2">
      <c r="A322" s="24">
        <v>44440</v>
      </c>
      <c r="B322" s="25">
        <v>1.1066309000000001</v>
      </c>
      <c r="E322" s="24">
        <v>44440</v>
      </c>
      <c r="F322" s="25">
        <v>1.0355122000000001</v>
      </c>
      <c r="I322" s="24">
        <v>44440</v>
      </c>
      <c r="J322" s="25">
        <v>1.0355122000000001</v>
      </c>
    </row>
    <row r="323" spans="1:10" x14ac:dyDescent="0.2">
      <c r="A323" s="24">
        <v>44470</v>
      </c>
      <c r="B323" s="25">
        <v>1.0935087999999999</v>
      </c>
      <c r="E323" s="24">
        <v>44470</v>
      </c>
      <c r="F323" s="25">
        <v>1.0238404000000001</v>
      </c>
      <c r="I323" s="24">
        <v>44470</v>
      </c>
      <c r="J323" s="25">
        <v>1.0238404000000001</v>
      </c>
    </row>
    <row r="324" spans="1:10" x14ac:dyDescent="0.2">
      <c r="A324" s="24">
        <v>44501</v>
      </c>
      <c r="B324" s="25">
        <v>1.0809696</v>
      </c>
      <c r="E324" s="24">
        <v>44501</v>
      </c>
      <c r="F324" s="25">
        <v>1.0117</v>
      </c>
      <c r="I324" s="24">
        <v>44501</v>
      </c>
      <c r="J324" s="25">
        <v>1.0117</v>
      </c>
    </row>
    <row r="325" spans="1:10" x14ac:dyDescent="0.2">
      <c r="A325" s="24">
        <v>44531</v>
      </c>
      <c r="B325" s="25">
        <v>1.0719650999999999</v>
      </c>
      <c r="E325" s="24">
        <v>44531</v>
      </c>
      <c r="F325" s="25">
        <v>1</v>
      </c>
      <c r="I325" s="24">
        <v>44531</v>
      </c>
      <c r="J325" s="25">
        <v>1</v>
      </c>
    </row>
    <row r="326" spans="1:10" x14ac:dyDescent="0.2">
      <c r="A326" s="24">
        <v>44562</v>
      </c>
      <c r="B326" s="25">
        <v>1.0641965</v>
      </c>
      <c r="E326" s="24">
        <v>44562</v>
      </c>
      <c r="F326" s="25">
        <v>1</v>
      </c>
      <c r="I326" s="24">
        <v>44562</v>
      </c>
      <c r="J326" s="25">
        <v>1</v>
      </c>
    </row>
    <row r="327" spans="1:10" x14ac:dyDescent="0.2">
      <c r="A327" s="24">
        <v>44593</v>
      </c>
      <c r="B327" s="25">
        <v>1.0571138</v>
      </c>
      <c r="E327" s="24">
        <v>44593</v>
      </c>
      <c r="F327" s="25">
        <v>1</v>
      </c>
      <c r="I327" s="24">
        <v>44593</v>
      </c>
      <c r="J327" s="25">
        <v>1</v>
      </c>
    </row>
    <row r="328" spans="1:10" x14ac:dyDescent="0.2">
      <c r="A328" s="24">
        <v>44621</v>
      </c>
      <c r="B328" s="25">
        <v>1.0466473000000001</v>
      </c>
      <c r="E328" s="24">
        <v>44621</v>
      </c>
      <c r="F328" s="25">
        <v>1</v>
      </c>
      <c r="I328" s="24">
        <v>44621</v>
      </c>
      <c r="J328" s="25">
        <v>1</v>
      </c>
    </row>
    <row r="329" spans="1:10" x14ac:dyDescent="0.2">
      <c r="A329" s="24">
        <v>44652</v>
      </c>
      <c r="B329" s="25">
        <v>1.0290505999999999</v>
      </c>
      <c r="E329" s="24">
        <v>44652</v>
      </c>
      <c r="F329" s="25">
        <v>1</v>
      </c>
      <c r="I329" s="24">
        <v>44652</v>
      </c>
      <c r="J329" s="25">
        <v>1</v>
      </c>
    </row>
    <row r="330" spans="1:10" x14ac:dyDescent="0.2">
      <c r="A330" s="24">
        <v>44682</v>
      </c>
      <c r="B330" s="25">
        <v>1.0184586</v>
      </c>
      <c r="E330" s="24">
        <v>44682</v>
      </c>
      <c r="F330" s="25">
        <v>1</v>
      </c>
      <c r="I330" s="24">
        <v>44682</v>
      </c>
      <c r="J330" s="25">
        <v>1</v>
      </c>
    </row>
    <row r="331" spans="1:10" x14ac:dyDescent="0.2">
      <c r="A331" s="24">
        <v>44713</v>
      </c>
      <c r="B331" s="25">
        <v>1.0138959999999999</v>
      </c>
      <c r="E331" s="24">
        <v>44713</v>
      </c>
      <c r="F331" s="25">
        <v>1</v>
      </c>
      <c r="I331" s="24">
        <v>44713</v>
      </c>
      <c r="J331" s="25">
        <v>1</v>
      </c>
    </row>
    <row r="332" spans="1:10" x14ac:dyDescent="0.2">
      <c r="A332" s="24">
        <v>44743</v>
      </c>
      <c r="B332" s="25">
        <v>1.0076486</v>
      </c>
      <c r="E332" s="24">
        <v>44743</v>
      </c>
      <c r="F332" s="25">
        <v>1</v>
      </c>
      <c r="I332" s="24">
        <v>44743</v>
      </c>
      <c r="J332" s="25">
        <v>1</v>
      </c>
    </row>
    <row r="333" spans="1:10" x14ac:dyDescent="0.2">
      <c r="A333" s="24">
        <v>44774</v>
      </c>
      <c r="B333" s="25">
        <v>1.0137309999999999</v>
      </c>
      <c r="E333" s="24">
        <v>44774</v>
      </c>
      <c r="F333" s="25">
        <v>1</v>
      </c>
      <c r="I333" s="24">
        <v>44774</v>
      </c>
      <c r="J333" s="25">
        <v>1</v>
      </c>
    </row>
    <row r="334" spans="1:10" x14ac:dyDescent="0.2">
      <c r="A334" s="24">
        <v>44805</v>
      </c>
      <c r="B334" s="25">
        <v>1.0168834</v>
      </c>
      <c r="E334" s="24">
        <v>44805</v>
      </c>
      <c r="F334" s="25">
        <v>1</v>
      </c>
      <c r="I334" s="24">
        <v>44805</v>
      </c>
      <c r="J334" s="25">
        <v>1</v>
      </c>
    </row>
    <row r="335" spans="1:10" x14ac:dyDescent="0.2">
      <c r="A335" s="24">
        <v>44835</v>
      </c>
      <c r="B335" s="25">
        <v>1.0201477999999999</v>
      </c>
      <c r="E335" s="24">
        <v>44835</v>
      </c>
      <c r="F335" s="25">
        <v>1</v>
      </c>
      <c r="I335" s="24">
        <v>44835</v>
      </c>
      <c r="J335" s="25">
        <v>1</v>
      </c>
    </row>
    <row r="336" spans="1:10" x14ac:dyDescent="0.2">
      <c r="A336" s="24">
        <v>44866</v>
      </c>
      <c r="B336" s="25">
        <v>1.0153756</v>
      </c>
      <c r="E336" s="24">
        <v>44866</v>
      </c>
      <c r="F336" s="25">
        <v>1</v>
      </c>
      <c r="I336" s="24">
        <v>44866</v>
      </c>
      <c r="J336" s="25">
        <v>1</v>
      </c>
    </row>
    <row r="337" spans="1:10" x14ac:dyDescent="0.2">
      <c r="A337" s="24">
        <v>44896</v>
      </c>
      <c r="B337" s="25">
        <v>1.0115316999999999</v>
      </c>
      <c r="E337" s="24">
        <v>44896</v>
      </c>
      <c r="F337" s="25">
        <v>1</v>
      </c>
      <c r="I337" s="24">
        <v>44896</v>
      </c>
      <c r="J337" s="25">
        <v>1</v>
      </c>
    </row>
    <row r="338" spans="1:10" x14ac:dyDescent="0.2">
      <c r="A338" s="24">
        <v>44927</v>
      </c>
      <c r="B338" s="25">
        <v>1.0045999999999999</v>
      </c>
      <c r="E338" s="24">
        <v>44927</v>
      </c>
      <c r="F338" s="25">
        <v>1</v>
      </c>
      <c r="I338" s="24">
        <v>44927</v>
      </c>
      <c r="J338" s="25">
        <v>1</v>
      </c>
    </row>
    <row r="339" spans="1:10" x14ac:dyDescent="0.2">
      <c r="A339" s="24">
        <v>44958</v>
      </c>
      <c r="B339" s="25">
        <v>1</v>
      </c>
      <c r="E339" s="24">
        <v>44958</v>
      </c>
      <c r="F339" s="25">
        <v>1</v>
      </c>
      <c r="I339" s="24">
        <v>44958</v>
      </c>
      <c r="J339" s="25">
        <v>1</v>
      </c>
    </row>
    <row r="340" spans="1:10" x14ac:dyDescent="0.2">
      <c r="A340" s="24">
        <v>44986</v>
      </c>
      <c r="B340" s="25"/>
      <c r="E340" s="24">
        <v>44986</v>
      </c>
      <c r="F340" s="25"/>
      <c r="I340" s="24">
        <v>44986</v>
      </c>
      <c r="J340" s="25"/>
    </row>
    <row r="341" spans="1:10" x14ac:dyDescent="0.2">
      <c r="A341" s="24">
        <v>45017</v>
      </c>
      <c r="B341" s="25"/>
      <c r="E341" s="24">
        <v>45017</v>
      </c>
      <c r="F341" s="25"/>
      <c r="I341" s="24">
        <v>45017</v>
      </c>
      <c r="J341" s="25"/>
    </row>
    <row r="342" spans="1:10" x14ac:dyDescent="0.2">
      <c r="A342" s="24">
        <v>45047</v>
      </c>
      <c r="B342" s="25"/>
      <c r="E342" s="24">
        <v>45047</v>
      </c>
      <c r="F342" s="25"/>
      <c r="I342" s="24">
        <v>45047</v>
      </c>
      <c r="J342" s="25"/>
    </row>
    <row r="343" spans="1:10" x14ac:dyDescent="0.2">
      <c r="A343" s="24">
        <v>45078</v>
      </c>
      <c r="B343" s="25"/>
      <c r="E343" s="24">
        <v>45078</v>
      </c>
      <c r="F343" s="25"/>
      <c r="I343" s="24">
        <v>45078</v>
      </c>
      <c r="J343" s="25"/>
    </row>
    <row r="344" spans="1:10" x14ac:dyDescent="0.2">
      <c r="A344" s="24">
        <v>45108</v>
      </c>
      <c r="B344" s="25"/>
      <c r="E344" s="24">
        <v>45108</v>
      </c>
      <c r="F344" s="25"/>
      <c r="I344" s="24">
        <v>45108</v>
      </c>
      <c r="J344" s="25"/>
    </row>
    <row r="345" spans="1:10" x14ac:dyDescent="0.2">
      <c r="A345" s="24">
        <v>45139</v>
      </c>
      <c r="B345" s="25"/>
      <c r="E345" s="24">
        <v>45139</v>
      </c>
      <c r="F345" s="25"/>
      <c r="I345" s="24">
        <v>45139</v>
      </c>
      <c r="J345" s="25"/>
    </row>
    <row r="346" spans="1:10" x14ac:dyDescent="0.2">
      <c r="A346" s="24">
        <v>45170</v>
      </c>
      <c r="B346" s="25"/>
      <c r="E346" s="24">
        <v>45170</v>
      </c>
      <c r="F346" s="25"/>
      <c r="I346" s="24">
        <v>45170</v>
      </c>
      <c r="J346" s="25"/>
    </row>
    <row r="347" spans="1:10" x14ac:dyDescent="0.2">
      <c r="A347" s="24">
        <v>45200</v>
      </c>
      <c r="B347" s="25"/>
      <c r="E347" s="24">
        <v>45200</v>
      </c>
      <c r="F347" s="25"/>
      <c r="I347" s="24">
        <v>45200</v>
      </c>
      <c r="J347" s="25"/>
    </row>
    <row r="348" spans="1:10" x14ac:dyDescent="0.2">
      <c r="A348" s="24">
        <v>45231</v>
      </c>
      <c r="B348" s="25"/>
      <c r="E348" s="24">
        <v>45231</v>
      </c>
      <c r="F348" s="25"/>
      <c r="I348" s="24">
        <v>45231</v>
      </c>
      <c r="J348" s="25"/>
    </row>
    <row r="349" spans="1:10" x14ac:dyDescent="0.2">
      <c r="A349" s="24">
        <v>45261</v>
      </c>
      <c r="B349" s="25"/>
      <c r="E349" s="24">
        <v>45261</v>
      </c>
      <c r="F349" s="25"/>
      <c r="I349" s="24">
        <v>45261</v>
      </c>
      <c r="J349" s="25"/>
    </row>
    <row r="350" spans="1:10" x14ac:dyDescent="0.2">
      <c r="A350" s="24">
        <v>45292</v>
      </c>
      <c r="B350" s="25"/>
      <c r="E350" s="24">
        <v>45292</v>
      </c>
      <c r="F350" s="25"/>
      <c r="I350" s="24">
        <v>45292</v>
      </c>
      <c r="J350" s="25"/>
    </row>
    <row r="351" spans="1:10" x14ac:dyDescent="0.2">
      <c r="A351" s="24">
        <v>45323</v>
      </c>
      <c r="B351" s="25"/>
      <c r="E351" s="24">
        <v>45323</v>
      </c>
      <c r="F351" s="25"/>
      <c r="I351" s="24">
        <v>45323</v>
      </c>
      <c r="J351" s="25"/>
    </row>
    <row r="352" spans="1:10" x14ac:dyDescent="0.2">
      <c r="A352" s="24">
        <v>45352</v>
      </c>
      <c r="B352" s="25"/>
      <c r="E352" s="24">
        <v>45352</v>
      </c>
      <c r="F352" s="25"/>
      <c r="I352" s="24">
        <v>45352</v>
      </c>
      <c r="J352" s="25"/>
    </row>
    <row r="353" spans="1:10" x14ac:dyDescent="0.2">
      <c r="A353" s="24">
        <v>45383</v>
      </c>
      <c r="B353" s="25"/>
      <c r="E353" s="24">
        <v>45383</v>
      </c>
      <c r="F353" s="25"/>
      <c r="I353" s="24">
        <v>45383</v>
      </c>
      <c r="J353" s="25"/>
    </row>
    <row r="354" spans="1:10" x14ac:dyDescent="0.2">
      <c r="A354" s="24">
        <v>45413</v>
      </c>
      <c r="B354" s="25"/>
      <c r="E354" s="24">
        <v>45413</v>
      </c>
      <c r="F354" s="25"/>
      <c r="I354" s="24">
        <v>45413</v>
      </c>
      <c r="J354" s="25"/>
    </row>
    <row r="355" spans="1:10" x14ac:dyDescent="0.2">
      <c r="A355" s="24">
        <v>45444</v>
      </c>
      <c r="B355" s="25"/>
      <c r="E355" s="24">
        <v>45444</v>
      </c>
      <c r="F355" s="25"/>
      <c r="I355" s="24">
        <v>45444</v>
      </c>
      <c r="J355" s="25"/>
    </row>
    <row r="356" spans="1:10" x14ac:dyDescent="0.2">
      <c r="A356" s="24">
        <v>45474</v>
      </c>
      <c r="B356" s="25"/>
      <c r="E356" s="24">
        <v>45474</v>
      </c>
      <c r="F356" s="25"/>
      <c r="I356" s="24">
        <v>45474</v>
      </c>
      <c r="J356" s="25"/>
    </row>
    <row r="357" spans="1:10" x14ac:dyDescent="0.2">
      <c r="A357" s="24">
        <v>45505</v>
      </c>
      <c r="B357" s="25"/>
      <c r="E357" s="24">
        <v>45505</v>
      </c>
      <c r="F357" s="25"/>
      <c r="I357" s="24">
        <v>45505</v>
      </c>
      <c r="J357" s="25"/>
    </row>
    <row r="358" spans="1:10" x14ac:dyDescent="0.2">
      <c r="A358" s="24">
        <v>45536</v>
      </c>
      <c r="B358" s="25"/>
      <c r="E358" s="24">
        <v>45536</v>
      </c>
      <c r="F358" s="25"/>
      <c r="I358" s="24">
        <v>45536</v>
      </c>
      <c r="J358" s="25"/>
    </row>
    <row r="359" spans="1:10" x14ac:dyDescent="0.2">
      <c r="A359" s="24">
        <v>45566</v>
      </c>
      <c r="B359" s="25"/>
      <c r="E359" s="24">
        <v>45566</v>
      </c>
      <c r="F359" s="25"/>
      <c r="I359" s="24">
        <v>45566</v>
      </c>
      <c r="J359" s="25"/>
    </row>
    <row r="360" spans="1:10" x14ac:dyDescent="0.2">
      <c r="A360" s="24">
        <v>45597</v>
      </c>
      <c r="B360" s="25"/>
      <c r="E360" s="24">
        <v>45597</v>
      </c>
      <c r="F360" s="25"/>
      <c r="I360" s="24">
        <v>45597</v>
      </c>
      <c r="J360" s="25"/>
    </row>
    <row r="361" spans="1:10" x14ac:dyDescent="0.2">
      <c r="A361" s="24">
        <v>45627</v>
      </c>
      <c r="B361" s="25"/>
      <c r="E361" s="24">
        <v>45627</v>
      </c>
      <c r="F361" s="25"/>
      <c r="I361" s="24">
        <v>45627</v>
      </c>
      <c r="J361" s="25"/>
    </row>
    <row r="362" spans="1:10" x14ac:dyDescent="0.2">
      <c r="A362" s="24"/>
      <c r="B362" s="25"/>
      <c r="E362" s="24"/>
      <c r="F362" s="25"/>
    </row>
    <row r="363" spans="1:10" x14ac:dyDescent="0.2">
      <c r="A363" s="24"/>
      <c r="B363" s="25"/>
    </row>
    <row r="364" spans="1:10" x14ac:dyDescent="0.2">
      <c r="A364" s="24"/>
      <c r="B364" s="25"/>
    </row>
    <row r="365" spans="1:10" x14ac:dyDescent="0.2">
      <c r="A365" s="24"/>
      <c r="B365" s="25"/>
    </row>
    <row r="366" spans="1:10" x14ac:dyDescent="0.2">
      <c r="A366" s="24"/>
      <c r="B366" s="25"/>
    </row>
    <row r="367" spans="1:10" x14ac:dyDescent="0.2">
      <c r="A367" s="24"/>
      <c r="B367" s="25"/>
    </row>
    <row r="368" spans="1:10" x14ac:dyDescent="0.2">
      <c r="A368" s="24"/>
      <c r="B368" s="25"/>
    </row>
    <row r="369" spans="1:2" x14ac:dyDescent="0.2">
      <c r="A369" s="24"/>
      <c r="B369" s="25"/>
    </row>
    <row r="370" spans="1:2" x14ac:dyDescent="0.2">
      <c r="A370" s="24"/>
      <c r="B370" s="25"/>
    </row>
    <row r="371" spans="1:2" x14ac:dyDescent="0.2">
      <c r="A371" s="24"/>
      <c r="B371" s="25"/>
    </row>
    <row r="372" spans="1:2" x14ac:dyDescent="0.2">
      <c r="A372" s="24"/>
      <c r="B372" s="25"/>
    </row>
    <row r="373" spans="1:2" x14ac:dyDescent="0.2">
      <c r="A373" s="24"/>
      <c r="B373" s="25"/>
    </row>
    <row r="374" spans="1:2" x14ac:dyDescent="0.2">
      <c r="A374" s="24"/>
      <c r="B374" s="25"/>
    </row>
    <row r="375" spans="1:2" x14ac:dyDescent="0.2">
      <c r="A375" s="24"/>
      <c r="B375" s="25"/>
    </row>
    <row r="376" spans="1:2" x14ac:dyDescent="0.2">
      <c r="A376" s="24"/>
      <c r="B376" s="25"/>
    </row>
    <row r="377" spans="1:2" x14ac:dyDescent="0.2">
      <c r="A377" s="24"/>
      <c r="B377" s="25"/>
    </row>
    <row r="378" spans="1:2" x14ac:dyDescent="0.2">
      <c r="A378" s="24"/>
      <c r="B378" s="25"/>
    </row>
    <row r="379" spans="1:2" x14ac:dyDescent="0.2">
      <c r="A379" s="24"/>
      <c r="B379" s="25"/>
    </row>
    <row r="380" spans="1:2" x14ac:dyDescent="0.2">
      <c r="A380" s="24"/>
      <c r="B380" s="25"/>
    </row>
    <row r="381" spans="1:2" x14ac:dyDescent="0.2">
      <c r="A381" s="24"/>
      <c r="B381" s="25"/>
    </row>
    <row r="382" spans="1:2" x14ac:dyDescent="0.2">
      <c r="A382" s="24"/>
      <c r="B382" s="25"/>
    </row>
    <row r="383" spans="1:2" x14ac:dyDescent="0.2">
      <c r="A383" s="24"/>
      <c r="B383" s="25"/>
    </row>
    <row r="384" spans="1:2" x14ac:dyDescent="0.2">
      <c r="A384" s="24"/>
      <c r="B384" s="25"/>
    </row>
    <row r="385" spans="1:2" x14ac:dyDescent="0.2">
      <c r="A385" s="24"/>
      <c r="B385" s="25"/>
    </row>
    <row r="386" spans="1:2" x14ac:dyDescent="0.2">
      <c r="A386" s="24"/>
      <c r="B386" s="25"/>
    </row>
    <row r="387" spans="1:2" x14ac:dyDescent="0.2">
      <c r="A387" s="24"/>
      <c r="B387" s="25"/>
    </row>
    <row r="388" spans="1:2" x14ac:dyDescent="0.2">
      <c r="A388" s="24"/>
      <c r="B388" s="25"/>
    </row>
    <row r="389" spans="1:2" x14ac:dyDescent="0.2">
      <c r="A389" s="24"/>
      <c r="B389" s="25"/>
    </row>
    <row r="390" spans="1:2" x14ac:dyDescent="0.2">
      <c r="A390" s="24"/>
      <c r="B390" s="25"/>
    </row>
    <row r="391" spans="1:2" x14ac:dyDescent="0.2">
      <c r="A391" s="24"/>
      <c r="B391" s="25"/>
    </row>
    <row r="392" spans="1:2" x14ac:dyDescent="0.2">
      <c r="A392" s="24"/>
      <c r="B392" s="25"/>
    </row>
    <row r="393" spans="1:2" x14ac:dyDescent="0.2">
      <c r="A393" s="24"/>
      <c r="B393" s="25"/>
    </row>
    <row r="394" spans="1:2" x14ac:dyDescent="0.2">
      <c r="A394" s="24"/>
      <c r="B394" s="25"/>
    </row>
    <row r="395" spans="1:2" x14ac:dyDescent="0.2">
      <c r="A395" s="24"/>
      <c r="B395" s="25"/>
    </row>
    <row r="396" spans="1:2" x14ac:dyDescent="0.2">
      <c r="A396" s="24"/>
      <c r="B396" s="25"/>
    </row>
    <row r="397" spans="1:2" x14ac:dyDescent="0.2">
      <c r="A397" s="24"/>
      <c r="B397" s="25"/>
    </row>
    <row r="398" spans="1:2" x14ac:dyDescent="0.2">
      <c r="A398" s="24"/>
      <c r="B398" s="25"/>
    </row>
    <row r="399" spans="1:2" x14ac:dyDescent="0.2">
      <c r="A399" s="24"/>
      <c r="B399" s="25"/>
    </row>
    <row r="400" spans="1:2" x14ac:dyDescent="0.2">
      <c r="A400" s="24"/>
      <c r="B400" s="25"/>
    </row>
    <row r="401" spans="1:2" x14ac:dyDescent="0.2">
      <c r="A401" s="24"/>
      <c r="B401" s="25"/>
    </row>
    <row r="402" spans="1:2" x14ac:dyDescent="0.2">
      <c r="A402" s="24"/>
      <c r="B402" s="25"/>
    </row>
    <row r="403" spans="1:2" x14ac:dyDescent="0.2">
      <c r="A403" s="24"/>
      <c r="B403" s="25"/>
    </row>
    <row r="404" spans="1:2" x14ac:dyDescent="0.2">
      <c r="A404" s="24"/>
      <c r="B404" s="25"/>
    </row>
    <row r="405" spans="1:2" x14ac:dyDescent="0.2">
      <c r="A405" s="24"/>
      <c r="B405" s="25"/>
    </row>
    <row r="406" spans="1:2" x14ac:dyDescent="0.2">
      <c r="A406" s="24"/>
      <c r="B406" s="25"/>
    </row>
    <row r="407" spans="1:2" x14ac:dyDescent="0.2">
      <c r="A407" s="24"/>
      <c r="B407" s="25"/>
    </row>
    <row r="408" spans="1:2" x14ac:dyDescent="0.2">
      <c r="A408" s="24"/>
      <c r="B408" s="25"/>
    </row>
    <row r="409" spans="1:2" x14ac:dyDescent="0.2">
      <c r="A409" s="24"/>
      <c r="B409" s="25"/>
    </row>
    <row r="410" spans="1:2" x14ac:dyDescent="0.2">
      <c r="A410" s="24"/>
      <c r="B410" s="25"/>
    </row>
    <row r="411" spans="1:2" x14ac:dyDescent="0.2">
      <c r="A411" s="24"/>
      <c r="B411" s="25"/>
    </row>
    <row r="412" spans="1:2" x14ac:dyDescent="0.2">
      <c r="A412" s="24"/>
      <c r="B412" s="25"/>
    </row>
    <row r="413" spans="1:2" x14ac:dyDescent="0.2">
      <c r="A413" s="24"/>
      <c r="B413" s="25"/>
    </row>
    <row r="414" spans="1:2" x14ac:dyDescent="0.2">
      <c r="A414" s="24"/>
      <c r="B414" s="25"/>
    </row>
    <row r="415" spans="1:2" x14ac:dyDescent="0.2">
      <c r="A415" s="24"/>
      <c r="B415" s="25"/>
    </row>
    <row r="416" spans="1:2" x14ac:dyDescent="0.2">
      <c r="A416" s="24"/>
      <c r="B416" s="25"/>
    </row>
    <row r="417" spans="1:2" x14ac:dyDescent="0.2">
      <c r="A417" s="24"/>
      <c r="B417" s="25"/>
    </row>
    <row r="418" spans="1:2" x14ac:dyDescent="0.2">
      <c r="A418" s="24"/>
      <c r="B418" s="25"/>
    </row>
    <row r="419" spans="1:2" x14ac:dyDescent="0.2">
      <c r="A419" s="24"/>
      <c r="B419" s="25"/>
    </row>
    <row r="420" spans="1:2" x14ac:dyDescent="0.2">
      <c r="A420" s="24"/>
      <c r="B420" s="25"/>
    </row>
    <row r="421" spans="1:2" x14ac:dyDescent="0.2">
      <c r="A421" s="24"/>
      <c r="B421" s="25"/>
    </row>
    <row r="422" spans="1:2" x14ac:dyDescent="0.2">
      <c r="A422" s="24"/>
      <c r="B422" s="25"/>
    </row>
    <row r="423" spans="1:2" x14ac:dyDescent="0.2">
      <c r="A423" s="24"/>
      <c r="B423" s="25"/>
    </row>
    <row r="424" spans="1:2" x14ac:dyDescent="0.2">
      <c r="A424" s="24"/>
      <c r="B424" s="25"/>
    </row>
    <row r="425" spans="1:2" x14ac:dyDescent="0.2">
      <c r="A425" s="24"/>
      <c r="B425" s="25"/>
    </row>
    <row r="426" spans="1:2" x14ac:dyDescent="0.2">
      <c r="A426" s="24"/>
      <c r="B426" s="25"/>
    </row>
    <row r="427" spans="1:2" x14ac:dyDescent="0.2">
      <c r="A427" s="24"/>
      <c r="B427" s="25"/>
    </row>
    <row r="428" spans="1:2" x14ac:dyDescent="0.2">
      <c r="A428" s="24"/>
      <c r="B428" s="25"/>
    </row>
    <row r="429" spans="1:2" x14ac:dyDescent="0.2">
      <c r="A429" s="24"/>
      <c r="B429" s="25"/>
    </row>
    <row r="430" spans="1:2" x14ac:dyDescent="0.2">
      <c r="A430" s="24"/>
      <c r="B430" s="25"/>
    </row>
    <row r="431" spans="1:2" x14ac:dyDescent="0.2">
      <c r="A431" s="24"/>
      <c r="B431" s="25"/>
    </row>
    <row r="432" spans="1:2" x14ac:dyDescent="0.2">
      <c r="A432" s="24"/>
      <c r="B432" s="25"/>
    </row>
    <row r="433" spans="1:2" x14ac:dyDescent="0.2">
      <c r="A433" s="24"/>
      <c r="B433" s="25"/>
    </row>
    <row r="434" spans="1:2" x14ac:dyDescent="0.2">
      <c r="A434" s="24"/>
      <c r="B434" s="25"/>
    </row>
    <row r="435" spans="1:2" x14ac:dyDescent="0.2">
      <c r="A435" s="24"/>
      <c r="B435" s="25"/>
    </row>
    <row r="436" spans="1:2" x14ac:dyDescent="0.2">
      <c r="A436" s="24"/>
      <c r="B436" s="25"/>
    </row>
    <row r="437" spans="1:2" x14ac:dyDescent="0.2">
      <c r="A437" s="24"/>
      <c r="B437" s="25"/>
    </row>
    <row r="438" spans="1:2" x14ac:dyDescent="0.2">
      <c r="A438" s="24"/>
      <c r="B438" s="25"/>
    </row>
    <row r="439" spans="1:2" x14ac:dyDescent="0.2">
      <c r="A439" s="24"/>
      <c r="B439" s="25"/>
    </row>
    <row r="440" spans="1:2" x14ac:dyDescent="0.2">
      <c r="A440" s="24"/>
      <c r="B440" s="25"/>
    </row>
    <row r="441" spans="1:2" x14ac:dyDescent="0.2">
      <c r="A441" s="24"/>
      <c r="B441" s="25"/>
    </row>
    <row r="442" spans="1:2" x14ac:dyDescent="0.2">
      <c r="A442" s="24"/>
      <c r="B442" s="25"/>
    </row>
    <row r="443" spans="1:2" x14ac:dyDescent="0.2">
      <c r="A443" s="24"/>
      <c r="B443" s="25"/>
    </row>
    <row r="444" spans="1:2" x14ac:dyDescent="0.2">
      <c r="A444" s="24"/>
      <c r="B444" s="25"/>
    </row>
    <row r="445" spans="1:2" x14ac:dyDescent="0.2">
      <c r="A445" s="24"/>
      <c r="B445" s="25"/>
    </row>
    <row r="446" spans="1:2" x14ac:dyDescent="0.2">
      <c r="A446" s="24"/>
      <c r="B446" s="25"/>
    </row>
    <row r="447" spans="1:2" x14ac:dyDescent="0.2">
      <c r="A447" s="24"/>
      <c r="B447" s="25"/>
    </row>
    <row r="448" spans="1:2" x14ac:dyDescent="0.2">
      <c r="A448" s="24"/>
      <c r="B448" s="25"/>
    </row>
    <row r="449" spans="1:2" x14ac:dyDescent="0.2">
      <c r="A449" s="24"/>
      <c r="B449" s="25"/>
    </row>
    <row r="450" spans="1:2" x14ac:dyDescent="0.2">
      <c r="A450" s="24"/>
      <c r="B450" s="25"/>
    </row>
    <row r="451" spans="1:2" x14ac:dyDescent="0.2">
      <c r="A451" s="24"/>
      <c r="B451" s="25"/>
    </row>
    <row r="452" spans="1:2" x14ac:dyDescent="0.2">
      <c r="A452" s="24"/>
      <c r="B452" s="25"/>
    </row>
    <row r="453" spans="1:2" x14ac:dyDescent="0.2">
      <c r="A453" s="24"/>
      <c r="B453" s="25"/>
    </row>
    <row r="454" spans="1:2" x14ac:dyDescent="0.2">
      <c r="A454" s="24"/>
      <c r="B454" s="25"/>
    </row>
    <row r="455" spans="1:2" x14ac:dyDescent="0.2">
      <c r="A455" s="24"/>
      <c r="B455" s="25"/>
    </row>
    <row r="456" spans="1:2" x14ac:dyDescent="0.2">
      <c r="A456" s="24"/>
      <c r="B456" s="25"/>
    </row>
    <row r="457" spans="1:2" x14ac:dyDescent="0.2">
      <c r="A457" s="24"/>
      <c r="B457" s="25"/>
    </row>
    <row r="458" spans="1:2" x14ac:dyDescent="0.2">
      <c r="A458" s="24"/>
      <c r="B458" s="25"/>
    </row>
    <row r="459" spans="1:2" x14ac:dyDescent="0.2">
      <c r="A459" s="24"/>
      <c r="B459" s="25"/>
    </row>
    <row r="460" spans="1:2" x14ac:dyDescent="0.2">
      <c r="A460" s="24"/>
      <c r="B460" s="25"/>
    </row>
    <row r="461" spans="1:2" x14ac:dyDescent="0.2">
      <c r="A461" s="24"/>
      <c r="B461" s="25"/>
    </row>
    <row r="462" spans="1:2" x14ac:dyDescent="0.2">
      <c r="A462" s="24"/>
      <c r="B462" s="25"/>
    </row>
    <row r="463" spans="1:2" x14ac:dyDescent="0.2">
      <c r="A463" s="24"/>
      <c r="B463" s="25"/>
    </row>
    <row r="464" spans="1:2" x14ac:dyDescent="0.2">
      <c r="A464" s="24"/>
      <c r="B464" s="25"/>
    </row>
    <row r="465" spans="1:2" x14ac:dyDescent="0.2">
      <c r="A465" s="24"/>
      <c r="B465" s="25"/>
    </row>
    <row r="466" spans="1:2" x14ac:dyDescent="0.2">
      <c r="A466" s="24"/>
      <c r="B466" s="25"/>
    </row>
    <row r="467" spans="1:2" x14ac:dyDescent="0.2">
      <c r="A467" s="24"/>
      <c r="B467" s="25"/>
    </row>
    <row r="468" spans="1:2" x14ac:dyDescent="0.2">
      <c r="A468" s="24"/>
      <c r="B468" s="25"/>
    </row>
    <row r="469" spans="1:2" x14ac:dyDescent="0.2">
      <c r="A469" s="24"/>
      <c r="B469" s="25"/>
    </row>
    <row r="470" spans="1:2" x14ac:dyDescent="0.2">
      <c r="A470" s="24"/>
      <c r="B470" s="25"/>
    </row>
    <row r="471" spans="1:2" x14ac:dyDescent="0.2">
      <c r="A471" s="24"/>
      <c r="B471" s="25"/>
    </row>
    <row r="472" spans="1:2" x14ac:dyDescent="0.2">
      <c r="A472" s="24"/>
      <c r="B472" s="25"/>
    </row>
    <row r="473" spans="1:2" x14ac:dyDescent="0.2">
      <c r="A473" s="24"/>
      <c r="B473" s="25"/>
    </row>
    <row r="474" spans="1:2" x14ac:dyDescent="0.2">
      <c r="A474" s="24"/>
      <c r="B474" s="25"/>
    </row>
    <row r="475" spans="1:2" x14ac:dyDescent="0.2">
      <c r="A475" s="24"/>
      <c r="B475" s="25"/>
    </row>
    <row r="476" spans="1:2" x14ac:dyDescent="0.2">
      <c r="A476" s="24"/>
      <c r="B476" s="25"/>
    </row>
    <row r="477" spans="1:2" x14ac:dyDescent="0.2">
      <c r="A477" s="24"/>
      <c r="B477" s="25"/>
    </row>
    <row r="478" spans="1:2" x14ac:dyDescent="0.2">
      <c r="A478" s="24"/>
      <c r="B478" s="25"/>
    </row>
    <row r="479" spans="1:2" x14ac:dyDescent="0.2">
      <c r="A479" s="24"/>
      <c r="B479" s="25"/>
    </row>
    <row r="480" spans="1:2" x14ac:dyDescent="0.2">
      <c r="A480" s="24"/>
      <c r="B480" s="25"/>
    </row>
    <row r="481" spans="1:2" x14ac:dyDescent="0.2">
      <c r="A481" s="24"/>
      <c r="B481" s="25"/>
    </row>
    <row r="482" spans="1:2" x14ac:dyDescent="0.2">
      <c r="A482" s="24"/>
      <c r="B482" s="25"/>
    </row>
    <row r="483" spans="1:2" x14ac:dyDescent="0.2">
      <c r="A483" s="24"/>
      <c r="B483" s="25"/>
    </row>
    <row r="484" spans="1:2" x14ac:dyDescent="0.2">
      <c r="A484" s="24"/>
      <c r="B484" s="25"/>
    </row>
    <row r="485" spans="1:2" x14ac:dyDescent="0.2">
      <c r="A485" s="24"/>
      <c r="B485" s="25"/>
    </row>
    <row r="486" spans="1:2" x14ac:dyDescent="0.2">
      <c r="A486" s="24"/>
      <c r="B486" s="25"/>
    </row>
    <row r="487" spans="1:2" x14ac:dyDescent="0.2">
      <c r="A487" s="24"/>
      <c r="B487" s="25"/>
    </row>
    <row r="488" spans="1:2" x14ac:dyDescent="0.2">
      <c r="A488" s="24"/>
      <c r="B488" s="25"/>
    </row>
    <row r="489" spans="1:2" x14ac:dyDescent="0.2">
      <c r="A489" s="24"/>
      <c r="B489" s="25"/>
    </row>
    <row r="490" spans="1:2" x14ac:dyDescent="0.2">
      <c r="A490" s="24"/>
      <c r="B490" s="25"/>
    </row>
    <row r="491" spans="1:2" x14ac:dyDescent="0.2">
      <c r="A491" s="24"/>
      <c r="B491" s="25"/>
    </row>
    <row r="492" spans="1:2" x14ac:dyDescent="0.2">
      <c r="A492" s="24"/>
      <c r="B492" s="25"/>
    </row>
    <row r="493" spans="1:2" x14ac:dyDescent="0.2">
      <c r="A493" s="24"/>
      <c r="B493" s="25"/>
    </row>
    <row r="494" spans="1:2" x14ac:dyDescent="0.2">
      <c r="A494" s="24"/>
      <c r="B494" s="25"/>
    </row>
    <row r="495" spans="1:2" x14ac:dyDescent="0.2">
      <c r="A495" s="24"/>
      <c r="B495" s="25"/>
    </row>
    <row r="496" spans="1:2" x14ac:dyDescent="0.2">
      <c r="A496" s="24"/>
      <c r="B496" s="25"/>
    </row>
    <row r="497" spans="1:2" x14ac:dyDescent="0.2">
      <c r="A497" s="24"/>
      <c r="B497" s="25"/>
    </row>
    <row r="498" spans="1:2" x14ac:dyDescent="0.2">
      <c r="A498" s="24"/>
      <c r="B498" s="25"/>
    </row>
    <row r="499" spans="1:2" x14ac:dyDescent="0.2">
      <c r="A499" s="24"/>
      <c r="B499" s="25"/>
    </row>
    <row r="500" spans="1:2" x14ac:dyDescent="0.2">
      <c r="A500" s="24"/>
      <c r="B500" s="25"/>
    </row>
    <row r="501" spans="1:2" x14ac:dyDescent="0.2">
      <c r="A501" s="24"/>
      <c r="B501" s="25"/>
    </row>
    <row r="502" spans="1:2" x14ac:dyDescent="0.2">
      <c r="A502" s="24"/>
      <c r="B502" s="25"/>
    </row>
    <row r="503" spans="1:2" x14ac:dyDescent="0.2">
      <c r="A503" s="24"/>
      <c r="B503" s="25"/>
    </row>
    <row r="504" spans="1:2" x14ac:dyDescent="0.2">
      <c r="A504" s="24"/>
      <c r="B504" s="25"/>
    </row>
    <row r="505" spans="1:2" x14ac:dyDescent="0.2">
      <c r="A505" s="24"/>
      <c r="B505" s="25"/>
    </row>
  </sheetData>
  <mergeCells count="3">
    <mergeCell ref="A1:B1"/>
    <mergeCell ref="E1:F1"/>
    <mergeCell ref="I1:J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D73C5-492E-4444-B866-442811A05544}">
  <sheetPr codeName="Plan11"/>
  <dimension ref="A1:B362"/>
  <sheetViews>
    <sheetView topLeftCell="A304" workbookViewId="0">
      <selection activeCell="B317" sqref="B317:B339"/>
    </sheetView>
  </sheetViews>
  <sheetFormatPr defaultRowHeight="12.75" x14ac:dyDescent="0.2"/>
  <cols>
    <col min="1" max="1" width="10.140625" bestFit="1" customWidth="1"/>
    <col min="2" max="2" width="13.42578125" customWidth="1"/>
  </cols>
  <sheetData>
    <row r="1" spans="1:2" x14ac:dyDescent="0.2">
      <c r="A1" s="199" t="s">
        <v>60</v>
      </c>
      <c r="B1" s="200"/>
    </row>
    <row r="2" spans="1:2" x14ac:dyDescent="0.2">
      <c r="A2" s="153">
        <v>34700</v>
      </c>
      <c r="B2" s="25">
        <v>2.6100000000000002E-2</v>
      </c>
    </row>
    <row r="3" spans="1:2" x14ac:dyDescent="0.2">
      <c r="A3" s="153">
        <v>34731</v>
      </c>
      <c r="B3" s="25">
        <v>2.3599999999999999E-2</v>
      </c>
    </row>
    <row r="4" spans="1:2" x14ac:dyDescent="0.2">
      <c r="A4" s="153">
        <v>34759</v>
      </c>
      <c r="B4" s="25">
        <v>2.81E-2</v>
      </c>
    </row>
    <row r="5" spans="1:2" x14ac:dyDescent="0.2">
      <c r="A5" s="153">
        <v>34790</v>
      </c>
      <c r="B5" s="25">
        <v>3.9800000000000002E-2</v>
      </c>
    </row>
    <row r="6" spans="1:2" x14ac:dyDescent="0.2">
      <c r="A6" s="153">
        <v>34820</v>
      </c>
      <c r="B6" s="25">
        <v>3.7600000000000001E-2</v>
      </c>
    </row>
    <row r="7" spans="1:2" x14ac:dyDescent="0.2">
      <c r="A7" s="153">
        <v>34851</v>
      </c>
      <c r="B7" s="25">
        <v>3.4000000000000002E-2</v>
      </c>
    </row>
    <row r="8" spans="1:2" x14ac:dyDescent="0.2">
      <c r="A8" s="153">
        <v>34881</v>
      </c>
      <c r="B8" s="25">
        <v>3.5099999999999999E-2</v>
      </c>
    </row>
    <row r="9" spans="1:2" x14ac:dyDescent="0.2">
      <c r="A9" s="153">
        <v>34912</v>
      </c>
      <c r="B9" s="25">
        <v>3.1199999999999999E-2</v>
      </c>
    </row>
    <row r="10" spans="1:2" x14ac:dyDescent="0.2">
      <c r="A10" s="153">
        <v>34943</v>
      </c>
      <c r="B10" s="25">
        <v>2.4500000000000001E-2</v>
      </c>
    </row>
    <row r="11" spans="1:2" x14ac:dyDescent="0.2">
      <c r="A11" s="153">
        <v>34973</v>
      </c>
      <c r="B11" s="25">
        <v>2.1600000000000001E-2</v>
      </c>
    </row>
    <row r="12" spans="1:2" x14ac:dyDescent="0.2">
      <c r="A12" s="153">
        <v>35004</v>
      </c>
      <c r="B12" s="25">
        <v>1.95E-2</v>
      </c>
    </row>
    <row r="13" spans="1:2" x14ac:dyDescent="0.2">
      <c r="A13" s="153">
        <v>35034</v>
      </c>
      <c r="B13" s="25">
        <v>1.8499999999999999E-2</v>
      </c>
    </row>
    <row r="14" spans="1:2" x14ac:dyDescent="0.2">
      <c r="A14" s="153">
        <v>35065</v>
      </c>
      <c r="B14" s="25">
        <v>1.7600000000000001E-2</v>
      </c>
    </row>
    <row r="15" spans="1:2" x14ac:dyDescent="0.2">
      <c r="A15" s="153">
        <v>35096</v>
      </c>
      <c r="B15" s="25">
        <v>1.47E-2</v>
      </c>
    </row>
    <row r="16" spans="1:2" x14ac:dyDescent="0.2">
      <c r="A16" s="153">
        <v>35125</v>
      </c>
      <c r="B16" s="25">
        <v>1.32E-2</v>
      </c>
    </row>
    <row r="17" spans="1:2" x14ac:dyDescent="0.2">
      <c r="A17" s="153">
        <v>35156</v>
      </c>
      <c r="B17" s="25">
        <v>1.1599999999999999E-2</v>
      </c>
    </row>
    <row r="18" spans="1:2" x14ac:dyDescent="0.2">
      <c r="A18" s="153">
        <v>35186</v>
      </c>
      <c r="B18" s="25">
        <v>1.09E-2</v>
      </c>
    </row>
    <row r="19" spans="1:2" x14ac:dyDescent="0.2">
      <c r="A19" s="153">
        <v>35217</v>
      </c>
      <c r="B19" s="25">
        <v>1.11E-2</v>
      </c>
    </row>
    <row r="20" spans="1:2" x14ac:dyDescent="0.2">
      <c r="A20" s="153">
        <v>35247</v>
      </c>
      <c r="B20" s="25">
        <v>1.09E-2</v>
      </c>
    </row>
    <row r="21" spans="1:2" x14ac:dyDescent="0.2">
      <c r="A21" s="153">
        <v>35278</v>
      </c>
      <c r="B21" s="25">
        <v>1.1299999999999999E-2</v>
      </c>
    </row>
    <row r="22" spans="1:2" x14ac:dyDescent="0.2">
      <c r="A22" s="153">
        <v>35309</v>
      </c>
      <c r="B22" s="25">
        <v>1.17E-2</v>
      </c>
    </row>
    <row r="23" spans="1:2" x14ac:dyDescent="0.2">
      <c r="A23" s="153">
        <v>35339</v>
      </c>
      <c r="B23" s="25">
        <v>1.2500000000000001E-2</v>
      </c>
    </row>
    <row r="24" spans="1:2" x14ac:dyDescent="0.2">
      <c r="A24" s="153">
        <v>35370</v>
      </c>
      <c r="B24" s="25">
        <v>1.32E-2</v>
      </c>
    </row>
    <row r="25" spans="1:2" x14ac:dyDescent="0.2">
      <c r="A25" s="153">
        <v>35400</v>
      </c>
      <c r="B25" s="25">
        <v>1.38E-2</v>
      </c>
    </row>
    <row r="26" spans="1:2" x14ac:dyDescent="0.2">
      <c r="A26" s="153">
        <v>35431</v>
      </c>
      <c r="B26" s="25">
        <v>1.2500000000000001E-2</v>
      </c>
    </row>
    <row r="27" spans="1:2" x14ac:dyDescent="0.2">
      <c r="A27" s="153">
        <v>35462</v>
      </c>
      <c r="B27" s="25">
        <v>1.1599999999999999E-2</v>
      </c>
    </row>
    <row r="28" spans="1:2" x14ac:dyDescent="0.2">
      <c r="A28" s="153">
        <v>35490</v>
      </c>
      <c r="B28" s="25">
        <v>1.1299999999999999E-2</v>
      </c>
    </row>
    <row r="29" spans="1:2" x14ac:dyDescent="0.2">
      <c r="A29" s="153">
        <v>35521</v>
      </c>
      <c r="B29" s="25">
        <v>1.12E-2</v>
      </c>
    </row>
    <row r="30" spans="1:2" x14ac:dyDescent="0.2">
      <c r="A30" s="153">
        <v>35551</v>
      </c>
      <c r="B30" s="25">
        <v>1.14E-2</v>
      </c>
    </row>
    <row r="31" spans="1:2" x14ac:dyDescent="0.2">
      <c r="A31" s="153">
        <v>35582</v>
      </c>
      <c r="B31" s="25">
        <v>1.1599999999999999E-2</v>
      </c>
    </row>
    <row r="32" spans="1:2" x14ac:dyDescent="0.2">
      <c r="A32" s="153">
        <v>35612</v>
      </c>
      <c r="B32" s="25">
        <v>1.1599999999999999E-2</v>
      </c>
    </row>
    <row r="33" spans="1:2" x14ac:dyDescent="0.2">
      <c r="A33" s="153">
        <v>35643</v>
      </c>
      <c r="B33" s="25">
        <v>1.1299999999999999E-2</v>
      </c>
    </row>
    <row r="34" spans="1:2" x14ac:dyDescent="0.2">
      <c r="A34" s="153">
        <v>35674</v>
      </c>
      <c r="B34" s="25">
        <v>1.15E-2</v>
      </c>
    </row>
    <row r="35" spans="1:2" x14ac:dyDescent="0.2">
      <c r="A35" s="153">
        <v>35704</v>
      </c>
      <c r="B35" s="25">
        <v>1.1599999999999999E-2</v>
      </c>
    </row>
    <row r="36" spans="1:2" x14ac:dyDescent="0.2">
      <c r="A36" s="153">
        <v>35735</v>
      </c>
      <c r="B36" s="25">
        <v>2.0400000000000001E-2</v>
      </c>
    </row>
    <row r="37" spans="1:2" x14ac:dyDescent="0.2">
      <c r="A37" s="153">
        <v>35765</v>
      </c>
      <c r="B37" s="25">
        <v>1.8200000000000001E-2</v>
      </c>
    </row>
    <row r="38" spans="1:2" x14ac:dyDescent="0.2">
      <c r="A38" s="153">
        <v>35796</v>
      </c>
      <c r="B38" s="25">
        <v>1.6500000000000001E-2</v>
      </c>
    </row>
    <row r="39" spans="1:2" x14ac:dyDescent="0.2">
      <c r="A39" s="153">
        <v>35827</v>
      </c>
      <c r="B39" s="25">
        <v>9.4999999999999998E-3</v>
      </c>
    </row>
    <row r="40" spans="1:2" x14ac:dyDescent="0.2">
      <c r="A40" s="153">
        <v>35855</v>
      </c>
      <c r="B40" s="25">
        <v>1.4E-2</v>
      </c>
    </row>
    <row r="41" spans="1:2" x14ac:dyDescent="0.2">
      <c r="A41" s="153">
        <v>35886</v>
      </c>
      <c r="B41" s="25">
        <v>9.7000000000000003E-3</v>
      </c>
    </row>
    <row r="42" spans="1:2" x14ac:dyDescent="0.2">
      <c r="A42" s="153">
        <v>35916</v>
      </c>
      <c r="B42" s="25">
        <v>9.5999999999999992E-3</v>
      </c>
    </row>
    <row r="43" spans="1:2" x14ac:dyDescent="0.2">
      <c r="A43" s="153">
        <v>35947</v>
      </c>
      <c r="B43" s="25">
        <v>9.9000000000000008E-3</v>
      </c>
    </row>
    <row r="44" spans="1:2" x14ac:dyDescent="0.2">
      <c r="A44" s="153">
        <v>35977</v>
      </c>
      <c r="B44" s="25">
        <v>1.0500000000000001E-2</v>
      </c>
    </row>
    <row r="45" spans="1:2" x14ac:dyDescent="0.2">
      <c r="A45" s="153">
        <v>36008</v>
      </c>
      <c r="B45" s="25">
        <v>8.8000000000000005E-3</v>
      </c>
    </row>
    <row r="46" spans="1:2" x14ac:dyDescent="0.2">
      <c r="A46" s="153">
        <v>36039</v>
      </c>
      <c r="B46" s="25">
        <v>9.4999999999999998E-3</v>
      </c>
    </row>
    <row r="47" spans="1:2" x14ac:dyDescent="0.2">
      <c r="A47" s="153">
        <v>36069</v>
      </c>
      <c r="B47" s="25">
        <v>1.3899999999999999E-2</v>
      </c>
    </row>
    <row r="48" spans="1:2" x14ac:dyDescent="0.2">
      <c r="A48" s="153">
        <v>36100</v>
      </c>
      <c r="B48" s="25">
        <v>1.12E-2</v>
      </c>
    </row>
    <row r="49" spans="1:2" x14ac:dyDescent="0.2">
      <c r="A49" s="153">
        <v>36130</v>
      </c>
      <c r="B49" s="25">
        <v>1.2500000000000001E-2</v>
      </c>
    </row>
    <row r="50" spans="1:2" x14ac:dyDescent="0.2">
      <c r="A50" s="153">
        <v>36161</v>
      </c>
      <c r="B50" s="25">
        <v>1.0200000000000001E-2</v>
      </c>
    </row>
    <row r="51" spans="1:2" x14ac:dyDescent="0.2">
      <c r="A51" s="153">
        <v>36192</v>
      </c>
      <c r="B51" s="25">
        <v>1.3299999999999999E-2</v>
      </c>
    </row>
    <row r="52" spans="1:2" x14ac:dyDescent="0.2">
      <c r="A52" s="153">
        <v>36220</v>
      </c>
      <c r="B52" s="25">
        <v>1.67E-2</v>
      </c>
    </row>
    <row r="53" spans="1:2" x14ac:dyDescent="0.2">
      <c r="A53" s="153">
        <v>36251</v>
      </c>
      <c r="B53" s="25">
        <v>1.11E-2</v>
      </c>
    </row>
    <row r="54" spans="1:2" x14ac:dyDescent="0.2">
      <c r="A54" s="153">
        <v>36281</v>
      </c>
      <c r="B54" s="25">
        <v>1.0800000000000001E-2</v>
      </c>
    </row>
    <row r="55" spans="1:2" x14ac:dyDescent="0.2">
      <c r="A55" s="153">
        <v>36312</v>
      </c>
      <c r="B55" s="25">
        <v>8.0999999999999996E-3</v>
      </c>
    </row>
    <row r="56" spans="1:2" x14ac:dyDescent="0.2">
      <c r="A56" s="153">
        <v>36342</v>
      </c>
      <c r="B56" s="25">
        <v>7.9000000000000008E-3</v>
      </c>
    </row>
    <row r="57" spans="1:2" x14ac:dyDescent="0.2">
      <c r="A57" s="153">
        <v>36373</v>
      </c>
      <c r="B57" s="25">
        <v>8.0000000000000002E-3</v>
      </c>
    </row>
    <row r="58" spans="1:2" x14ac:dyDescent="0.2">
      <c r="A58" s="153">
        <v>36404</v>
      </c>
      <c r="B58" s="25">
        <v>7.7000000000000002E-3</v>
      </c>
    </row>
    <row r="59" spans="1:2" x14ac:dyDescent="0.2">
      <c r="A59" s="153">
        <v>36434</v>
      </c>
      <c r="B59" s="25">
        <v>7.3000000000000001E-3</v>
      </c>
    </row>
    <row r="60" spans="1:2" x14ac:dyDescent="0.2">
      <c r="A60" s="153">
        <v>36465</v>
      </c>
      <c r="B60" s="25">
        <v>7.0000000000000001E-3</v>
      </c>
    </row>
    <row r="61" spans="1:2" x14ac:dyDescent="0.2">
      <c r="A61" s="153">
        <v>36495</v>
      </c>
      <c r="B61" s="25">
        <v>8.0000000000000002E-3</v>
      </c>
    </row>
    <row r="62" spans="1:2" x14ac:dyDescent="0.2">
      <c r="A62" s="153">
        <v>36526</v>
      </c>
      <c r="B62" s="25">
        <v>7.1999999999999998E-3</v>
      </c>
    </row>
    <row r="63" spans="1:2" x14ac:dyDescent="0.2">
      <c r="A63" s="153">
        <v>36557</v>
      </c>
      <c r="B63" s="25">
        <v>7.3000000000000001E-3</v>
      </c>
    </row>
    <row r="64" spans="1:2" x14ac:dyDescent="0.2">
      <c r="A64" s="153">
        <v>36586</v>
      </c>
      <c r="B64" s="25">
        <v>7.3000000000000001E-3</v>
      </c>
    </row>
    <row r="65" spans="1:2" x14ac:dyDescent="0.2">
      <c r="A65" s="153">
        <v>36617</v>
      </c>
      <c r="B65" s="25">
        <v>6.3E-3</v>
      </c>
    </row>
    <row r="66" spans="1:2" x14ac:dyDescent="0.2">
      <c r="A66" s="153">
        <v>36647</v>
      </c>
      <c r="B66" s="25">
        <v>7.4999999999999997E-3</v>
      </c>
    </row>
    <row r="67" spans="1:2" x14ac:dyDescent="0.2">
      <c r="A67" s="153">
        <v>36678</v>
      </c>
      <c r="B67" s="25">
        <v>7.1999999999999998E-3</v>
      </c>
    </row>
    <row r="68" spans="1:2" x14ac:dyDescent="0.2">
      <c r="A68" s="153">
        <v>36708</v>
      </c>
      <c r="B68" s="25">
        <v>6.6E-3</v>
      </c>
    </row>
    <row r="69" spans="1:2" x14ac:dyDescent="0.2">
      <c r="A69" s="153">
        <v>36739</v>
      </c>
      <c r="B69" s="25">
        <v>7.0000000000000001E-3</v>
      </c>
    </row>
    <row r="70" spans="1:2" x14ac:dyDescent="0.2">
      <c r="A70" s="153">
        <v>36770</v>
      </c>
      <c r="B70" s="25">
        <v>6.0000000000000001E-3</v>
      </c>
    </row>
    <row r="71" spans="1:2" x14ac:dyDescent="0.2">
      <c r="A71" s="153">
        <v>36800</v>
      </c>
      <c r="B71" s="25">
        <v>6.3E-3</v>
      </c>
    </row>
    <row r="72" spans="1:2" x14ac:dyDescent="0.2">
      <c r="A72" s="153">
        <v>36831</v>
      </c>
      <c r="B72" s="25">
        <v>6.1999999999999998E-3</v>
      </c>
    </row>
    <row r="73" spans="1:2" x14ac:dyDescent="0.2">
      <c r="A73" s="153">
        <v>36861</v>
      </c>
      <c r="B73" s="25">
        <v>6.0000000000000001E-3</v>
      </c>
    </row>
    <row r="74" spans="1:2" x14ac:dyDescent="0.2">
      <c r="A74" s="153">
        <v>36892</v>
      </c>
      <c r="B74" s="25">
        <v>6.4000000000000003E-3</v>
      </c>
    </row>
    <row r="75" spans="1:2" x14ac:dyDescent="0.2">
      <c r="A75" s="153">
        <v>36923</v>
      </c>
      <c r="B75" s="25">
        <v>5.4000000000000003E-3</v>
      </c>
    </row>
    <row r="76" spans="1:2" x14ac:dyDescent="0.2">
      <c r="A76" s="153">
        <v>36951</v>
      </c>
      <c r="B76" s="25">
        <v>6.7000000000000002E-3</v>
      </c>
    </row>
    <row r="77" spans="1:2" x14ac:dyDescent="0.2">
      <c r="A77" s="153">
        <v>36982</v>
      </c>
      <c r="B77" s="25">
        <v>6.6E-3</v>
      </c>
    </row>
    <row r="78" spans="1:2" x14ac:dyDescent="0.2">
      <c r="A78" s="153">
        <v>37012</v>
      </c>
      <c r="B78" s="25">
        <v>6.7999999999999996E-3</v>
      </c>
    </row>
    <row r="79" spans="1:2" x14ac:dyDescent="0.2">
      <c r="A79" s="153">
        <v>37043</v>
      </c>
      <c r="B79" s="25">
        <v>6.4999999999999997E-3</v>
      </c>
    </row>
    <row r="80" spans="1:2" x14ac:dyDescent="0.2">
      <c r="A80" s="153">
        <v>37073</v>
      </c>
      <c r="B80" s="25">
        <v>7.4999999999999997E-3</v>
      </c>
    </row>
    <row r="81" spans="1:2" x14ac:dyDescent="0.2">
      <c r="A81" s="153">
        <v>37104</v>
      </c>
      <c r="B81" s="25">
        <v>8.5000000000000006E-3</v>
      </c>
    </row>
    <row r="82" spans="1:2" x14ac:dyDescent="0.2">
      <c r="A82" s="153">
        <v>37135</v>
      </c>
      <c r="B82" s="25">
        <v>6.6E-3</v>
      </c>
    </row>
    <row r="83" spans="1:2" x14ac:dyDescent="0.2">
      <c r="A83" s="153">
        <v>37165</v>
      </c>
      <c r="B83" s="25">
        <v>7.9000000000000008E-3</v>
      </c>
    </row>
    <row r="84" spans="1:2" x14ac:dyDescent="0.2">
      <c r="A84" s="153">
        <v>37196</v>
      </c>
      <c r="B84" s="25">
        <v>6.8999999999999999E-3</v>
      </c>
    </row>
    <row r="85" spans="1:2" x14ac:dyDescent="0.2">
      <c r="A85" s="153">
        <v>37226</v>
      </c>
      <c r="B85" s="25">
        <v>7.0000000000000001E-3</v>
      </c>
    </row>
    <row r="86" spans="1:2" x14ac:dyDescent="0.2">
      <c r="A86" s="153">
        <v>37257</v>
      </c>
      <c r="B86" s="25">
        <v>7.6E-3</v>
      </c>
    </row>
    <row r="87" spans="1:2" x14ac:dyDescent="0.2">
      <c r="A87" s="153">
        <v>37288</v>
      </c>
      <c r="B87" s="25">
        <v>6.1999999999999998E-3</v>
      </c>
    </row>
    <row r="88" spans="1:2" x14ac:dyDescent="0.2">
      <c r="A88" s="153">
        <v>37316</v>
      </c>
      <c r="B88" s="25">
        <v>6.7999999999999996E-3</v>
      </c>
    </row>
    <row r="89" spans="1:2" x14ac:dyDescent="0.2">
      <c r="A89" s="153">
        <v>37347</v>
      </c>
      <c r="B89" s="25">
        <v>7.4000000000000003E-3</v>
      </c>
    </row>
    <row r="90" spans="1:2" x14ac:dyDescent="0.2">
      <c r="A90" s="153">
        <v>37377</v>
      </c>
      <c r="B90" s="25">
        <v>7.1000000000000004E-3</v>
      </c>
    </row>
    <row r="91" spans="1:2" x14ac:dyDescent="0.2">
      <c r="A91" s="153">
        <v>37408</v>
      </c>
      <c r="B91" s="25">
        <v>6.6E-3</v>
      </c>
    </row>
    <row r="92" spans="1:2" x14ac:dyDescent="0.2">
      <c r="A92" s="153">
        <v>37438</v>
      </c>
      <c r="B92" s="25">
        <v>7.7000000000000002E-3</v>
      </c>
    </row>
    <row r="93" spans="1:2" x14ac:dyDescent="0.2">
      <c r="A93" s="153">
        <v>37469</v>
      </c>
      <c r="B93" s="25">
        <v>7.4999999999999997E-3</v>
      </c>
    </row>
    <row r="94" spans="1:2" x14ac:dyDescent="0.2">
      <c r="A94" s="153">
        <v>37500</v>
      </c>
      <c r="B94" s="25">
        <v>7.0000000000000001E-3</v>
      </c>
    </row>
    <row r="95" spans="1:2" x14ac:dyDescent="0.2">
      <c r="A95" s="153">
        <v>37530</v>
      </c>
      <c r="B95" s="25">
        <v>7.7999999999999996E-3</v>
      </c>
    </row>
    <row r="96" spans="1:2" x14ac:dyDescent="0.2">
      <c r="A96" s="153">
        <v>37561</v>
      </c>
      <c r="B96" s="25">
        <v>7.7000000000000002E-3</v>
      </c>
    </row>
    <row r="97" spans="1:2" x14ac:dyDescent="0.2">
      <c r="A97" s="153">
        <v>37591</v>
      </c>
      <c r="B97" s="25">
        <v>8.6E-3</v>
      </c>
    </row>
    <row r="98" spans="1:2" x14ac:dyDescent="0.2">
      <c r="A98" s="153">
        <v>37622</v>
      </c>
      <c r="B98" s="25">
        <v>9.9000000000000008E-3</v>
      </c>
    </row>
    <row r="99" spans="1:2" x14ac:dyDescent="0.2">
      <c r="A99" s="153">
        <v>37653</v>
      </c>
      <c r="B99" s="25">
        <v>9.1000000000000004E-3</v>
      </c>
    </row>
    <row r="100" spans="1:2" x14ac:dyDescent="0.2">
      <c r="A100" s="153">
        <v>37681</v>
      </c>
      <c r="B100" s="25">
        <v>8.8000000000000005E-3</v>
      </c>
    </row>
    <row r="101" spans="1:2" x14ac:dyDescent="0.2">
      <c r="A101" s="153">
        <v>37712</v>
      </c>
      <c r="B101" s="25">
        <v>9.1999999999999998E-3</v>
      </c>
    </row>
    <row r="102" spans="1:2" x14ac:dyDescent="0.2">
      <c r="A102" s="153">
        <v>37742</v>
      </c>
      <c r="B102" s="25">
        <v>9.7000000000000003E-3</v>
      </c>
    </row>
    <row r="103" spans="1:2" x14ac:dyDescent="0.2">
      <c r="A103" s="153">
        <v>37773</v>
      </c>
      <c r="B103" s="25">
        <v>9.1999999999999998E-3</v>
      </c>
    </row>
    <row r="104" spans="1:2" x14ac:dyDescent="0.2">
      <c r="A104" s="153">
        <v>37803</v>
      </c>
      <c r="B104" s="25">
        <v>1.0500000000000001E-2</v>
      </c>
    </row>
    <row r="105" spans="1:2" x14ac:dyDescent="0.2">
      <c r="A105" s="153">
        <v>37834</v>
      </c>
      <c r="B105" s="25">
        <v>9.1000000000000004E-3</v>
      </c>
    </row>
    <row r="106" spans="1:2" x14ac:dyDescent="0.2">
      <c r="A106" s="153">
        <v>37865</v>
      </c>
      <c r="B106" s="25">
        <v>8.3999999999999995E-3</v>
      </c>
    </row>
    <row r="107" spans="1:2" x14ac:dyDescent="0.2">
      <c r="A107" s="153">
        <v>37895</v>
      </c>
      <c r="B107" s="25">
        <v>8.2000000000000007E-3</v>
      </c>
    </row>
    <row r="108" spans="1:2" x14ac:dyDescent="0.2">
      <c r="A108" s="153">
        <v>37926</v>
      </c>
      <c r="B108" s="25">
        <v>6.7999999999999996E-3</v>
      </c>
    </row>
    <row r="109" spans="1:2" x14ac:dyDescent="0.2">
      <c r="A109" s="153">
        <v>37956</v>
      </c>
      <c r="B109" s="25">
        <v>6.8999999999999999E-3</v>
      </c>
    </row>
    <row r="110" spans="1:2" x14ac:dyDescent="0.2">
      <c r="A110" s="153">
        <v>37987</v>
      </c>
      <c r="B110" s="25">
        <v>6.3E-3</v>
      </c>
    </row>
    <row r="111" spans="1:2" x14ac:dyDescent="0.2">
      <c r="A111" s="153">
        <v>38018</v>
      </c>
      <c r="B111" s="25">
        <v>5.4999999999999997E-3</v>
      </c>
    </row>
    <row r="112" spans="1:2" x14ac:dyDescent="0.2">
      <c r="A112" s="153">
        <v>38047</v>
      </c>
      <c r="B112" s="25">
        <v>6.7999999999999996E-3</v>
      </c>
    </row>
    <row r="113" spans="1:2" x14ac:dyDescent="0.2">
      <c r="A113" s="153">
        <v>38078</v>
      </c>
      <c r="B113" s="25">
        <v>5.8999999999999999E-3</v>
      </c>
    </row>
    <row r="114" spans="1:2" x14ac:dyDescent="0.2">
      <c r="A114" s="153">
        <v>38108</v>
      </c>
      <c r="B114" s="25">
        <v>6.6E-3</v>
      </c>
    </row>
    <row r="115" spans="1:2" x14ac:dyDescent="0.2">
      <c r="A115" s="153">
        <v>38139</v>
      </c>
      <c r="B115" s="25">
        <v>6.7999999999999996E-3</v>
      </c>
    </row>
    <row r="116" spans="1:2" x14ac:dyDescent="0.2">
      <c r="A116" s="153">
        <v>38169</v>
      </c>
      <c r="B116" s="25">
        <v>7.0000000000000001E-3</v>
      </c>
    </row>
    <row r="117" spans="1:2" x14ac:dyDescent="0.2">
      <c r="A117" s="153">
        <v>38200</v>
      </c>
      <c r="B117" s="25">
        <v>7.0000000000000001E-3</v>
      </c>
    </row>
    <row r="118" spans="1:2" x14ac:dyDescent="0.2">
      <c r="A118" s="153">
        <v>38231</v>
      </c>
      <c r="B118" s="25">
        <v>6.7000000000000002E-3</v>
      </c>
    </row>
    <row r="119" spans="1:2" x14ac:dyDescent="0.2">
      <c r="A119" s="153">
        <v>38261</v>
      </c>
      <c r="B119" s="25">
        <v>6.1000000000000004E-3</v>
      </c>
    </row>
    <row r="120" spans="1:2" x14ac:dyDescent="0.2">
      <c r="A120" s="153">
        <v>38292</v>
      </c>
      <c r="B120" s="25">
        <v>6.1999999999999998E-3</v>
      </c>
    </row>
    <row r="121" spans="1:2" x14ac:dyDescent="0.2">
      <c r="A121" s="153">
        <v>38322</v>
      </c>
      <c r="B121" s="25">
        <v>7.4000000000000003E-3</v>
      </c>
    </row>
    <row r="122" spans="1:2" x14ac:dyDescent="0.2">
      <c r="A122" s="153">
        <v>38353</v>
      </c>
      <c r="B122" s="25">
        <v>6.8890000000000002E-3</v>
      </c>
    </row>
    <row r="123" spans="1:2" x14ac:dyDescent="0.2">
      <c r="A123" s="153">
        <v>38384</v>
      </c>
      <c r="B123" s="25">
        <v>5.9670000000000001E-3</v>
      </c>
    </row>
    <row r="124" spans="1:2" x14ac:dyDescent="0.2">
      <c r="A124" s="153">
        <v>38412</v>
      </c>
      <c r="B124" s="25">
        <v>7.6E-3</v>
      </c>
    </row>
    <row r="125" spans="1:2" x14ac:dyDescent="0.2">
      <c r="A125" s="153">
        <v>38443</v>
      </c>
      <c r="B125" s="25">
        <v>7.0000000000000001E-3</v>
      </c>
    </row>
    <row r="126" spans="1:2" x14ac:dyDescent="0.2">
      <c r="A126" s="153">
        <v>38473</v>
      </c>
      <c r="B126" s="25">
        <v>7.4999999999999997E-3</v>
      </c>
    </row>
    <row r="127" spans="1:2" x14ac:dyDescent="0.2">
      <c r="A127" s="153">
        <v>38504</v>
      </c>
      <c r="B127" s="25">
        <v>8.0000000000000002E-3</v>
      </c>
    </row>
    <row r="128" spans="1:2" x14ac:dyDescent="0.2">
      <c r="A128" s="153">
        <v>38534</v>
      </c>
      <c r="B128" s="25">
        <v>7.6E-3</v>
      </c>
    </row>
    <row r="129" spans="1:2" x14ac:dyDescent="0.2">
      <c r="A129" s="153">
        <v>38565</v>
      </c>
      <c r="B129" s="25">
        <v>8.5000000000000006E-3</v>
      </c>
    </row>
    <row r="130" spans="1:2" x14ac:dyDescent="0.2">
      <c r="A130" s="153">
        <v>38596</v>
      </c>
      <c r="B130" s="25">
        <v>7.7000000000000002E-3</v>
      </c>
    </row>
    <row r="131" spans="1:2" x14ac:dyDescent="0.2">
      <c r="A131" s="153">
        <v>38626</v>
      </c>
      <c r="B131" s="25">
        <v>7.1000000000000004E-3</v>
      </c>
    </row>
    <row r="132" spans="1:2" x14ac:dyDescent="0.2">
      <c r="A132" s="153">
        <v>38657</v>
      </c>
      <c r="B132" s="25">
        <v>6.8999999999999999E-3</v>
      </c>
    </row>
    <row r="133" spans="1:2" x14ac:dyDescent="0.2">
      <c r="A133" s="153">
        <v>38687</v>
      </c>
      <c r="B133" s="25">
        <v>7.3000000000000001E-3</v>
      </c>
    </row>
    <row r="134" spans="1:2" x14ac:dyDescent="0.2">
      <c r="A134" s="153">
        <v>38718</v>
      </c>
      <c r="B134" s="25">
        <v>7.3000000000000001E-3</v>
      </c>
    </row>
    <row r="135" spans="1:2" x14ac:dyDescent="0.2">
      <c r="A135" s="153">
        <v>38749</v>
      </c>
      <c r="B135" s="25">
        <v>5.7000000000000002E-3</v>
      </c>
    </row>
    <row r="136" spans="1:2" x14ac:dyDescent="0.2">
      <c r="A136" s="153">
        <v>38777</v>
      </c>
      <c r="B136" s="25">
        <v>7.1000000000000004E-3</v>
      </c>
    </row>
    <row r="137" spans="1:2" x14ac:dyDescent="0.2">
      <c r="A137" s="153">
        <v>38808</v>
      </c>
      <c r="B137" s="25">
        <v>5.8999999999999999E-3</v>
      </c>
    </row>
    <row r="138" spans="1:2" x14ac:dyDescent="0.2">
      <c r="A138" s="153">
        <v>38838</v>
      </c>
      <c r="B138" s="25">
        <v>6.8999999999999999E-3</v>
      </c>
    </row>
    <row r="139" spans="1:2" x14ac:dyDescent="0.2">
      <c r="A139" s="153">
        <v>38869</v>
      </c>
      <c r="B139" s="25">
        <v>6.8999999999999999E-3</v>
      </c>
    </row>
    <row r="140" spans="1:2" x14ac:dyDescent="0.2">
      <c r="A140" s="153">
        <v>38899</v>
      </c>
      <c r="B140" s="25">
        <v>6.7999999999999996E-3</v>
      </c>
    </row>
    <row r="141" spans="1:2" x14ac:dyDescent="0.2">
      <c r="A141" s="153">
        <v>38930</v>
      </c>
      <c r="B141" s="25">
        <v>7.4000000000000003E-3</v>
      </c>
    </row>
    <row r="142" spans="1:2" x14ac:dyDescent="0.2">
      <c r="A142" s="153">
        <v>38961</v>
      </c>
      <c r="B142" s="25">
        <v>6.4999999999999997E-3</v>
      </c>
    </row>
    <row r="143" spans="1:2" x14ac:dyDescent="0.2">
      <c r="A143" s="153">
        <v>38991</v>
      </c>
      <c r="B143" s="25">
        <v>6.8999999999999999E-3</v>
      </c>
    </row>
    <row r="144" spans="1:2" x14ac:dyDescent="0.2">
      <c r="A144" s="153">
        <v>39022</v>
      </c>
      <c r="B144" s="25">
        <v>6.3E-3</v>
      </c>
    </row>
    <row r="145" spans="1:2" x14ac:dyDescent="0.2">
      <c r="A145" s="153">
        <v>39052</v>
      </c>
      <c r="B145" s="25">
        <v>6.4999999999999997E-3</v>
      </c>
    </row>
    <row r="146" spans="1:2" x14ac:dyDescent="0.2">
      <c r="A146" s="153">
        <v>39083</v>
      </c>
      <c r="B146" s="25">
        <v>7.1999999999999998E-3</v>
      </c>
    </row>
    <row r="147" spans="1:2" x14ac:dyDescent="0.2">
      <c r="A147" s="153">
        <v>39114</v>
      </c>
      <c r="B147" s="25">
        <v>5.7000000000000002E-3</v>
      </c>
    </row>
    <row r="148" spans="1:2" x14ac:dyDescent="0.2">
      <c r="A148" s="153">
        <v>39142</v>
      </c>
      <c r="B148" s="25">
        <v>6.8999999999999999E-3</v>
      </c>
    </row>
    <row r="149" spans="1:2" x14ac:dyDescent="0.2">
      <c r="A149" s="153">
        <v>39173</v>
      </c>
      <c r="B149" s="25">
        <v>6.3E-3</v>
      </c>
    </row>
    <row r="150" spans="1:2" x14ac:dyDescent="0.2">
      <c r="A150" s="153">
        <v>39203</v>
      </c>
      <c r="B150" s="25">
        <v>6.7000000000000002E-3</v>
      </c>
    </row>
    <row r="151" spans="1:2" x14ac:dyDescent="0.2">
      <c r="A151" s="153">
        <v>39234</v>
      </c>
      <c r="B151" s="25">
        <v>6.0000000000000001E-3</v>
      </c>
    </row>
    <row r="152" spans="1:2" x14ac:dyDescent="0.2">
      <c r="A152" s="153">
        <v>39264</v>
      </c>
      <c r="B152" s="25">
        <v>6.4999999999999997E-3</v>
      </c>
    </row>
    <row r="153" spans="1:2" x14ac:dyDescent="0.2">
      <c r="A153" s="153">
        <v>39295</v>
      </c>
      <c r="B153" s="25">
        <v>6.4999999999999997E-3</v>
      </c>
    </row>
    <row r="154" spans="1:2" x14ac:dyDescent="0.2">
      <c r="A154" s="153">
        <v>39326</v>
      </c>
      <c r="B154" s="25">
        <v>5.4000000000000003E-3</v>
      </c>
    </row>
    <row r="155" spans="1:2" x14ac:dyDescent="0.2">
      <c r="A155" s="153">
        <v>39356</v>
      </c>
      <c r="B155" s="25">
        <v>6.1000000000000004E-3</v>
      </c>
    </row>
    <row r="156" spans="1:2" x14ac:dyDescent="0.2">
      <c r="A156" s="153">
        <v>39387</v>
      </c>
      <c r="B156" s="25">
        <v>5.5999999999999999E-3</v>
      </c>
    </row>
    <row r="157" spans="1:2" x14ac:dyDescent="0.2">
      <c r="A157" s="153">
        <v>39417</v>
      </c>
      <c r="B157" s="25">
        <v>5.5999999999999999E-3</v>
      </c>
    </row>
    <row r="158" spans="1:2" x14ac:dyDescent="0.2">
      <c r="A158" s="153">
        <v>39448</v>
      </c>
      <c r="B158" s="25">
        <v>6.0000000000000001E-3</v>
      </c>
    </row>
    <row r="159" spans="1:2" x14ac:dyDescent="0.2">
      <c r="A159" s="153">
        <v>39479</v>
      </c>
      <c r="B159" s="25">
        <v>5.1999999999999998E-3</v>
      </c>
    </row>
    <row r="160" spans="1:2" x14ac:dyDescent="0.2">
      <c r="A160" s="153">
        <v>39508</v>
      </c>
      <c r="B160" s="25">
        <v>5.4000000000000003E-3</v>
      </c>
    </row>
    <row r="161" spans="1:2" x14ac:dyDescent="0.2">
      <c r="A161" s="153">
        <v>39539</v>
      </c>
      <c r="B161" s="25">
        <v>6.0000000000000001E-3</v>
      </c>
    </row>
    <row r="162" spans="1:2" x14ac:dyDescent="0.2">
      <c r="A162" s="153">
        <v>39569</v>
      </c>
      <c r="B162" s="25">
        <v>5.7000000000000002E-3</v>
      </c>
    </row>
    <row r="163" spans="1:2" x14ac:dyDescent="0.2">
      <c r="A163" s="153">
        <v>39600</v>
      </c>
      <c r="B163" s="25">
        <v>6.1999999999999998E-3</v>
      </c>
    </row>
    <row r="164" spans="1:2" x14ac:dyDescent="0.2">
      <c r="A164" s="153">
        <v>39630</v>
      </c>
      <c r="B164" s="25">
        <v>6.8999999999999999E-3</v>
      </c>
    </row>
    <row r="165" spans="1:2" x14ac:dyDescent="0.2">
      <c r="A165" s="153">
        <v>39661</v>
      </c>
      <c r="B165" s="25">
        <v>6.6E-3</v>
      </c>
    </row>
    <row r="166" spans="1:2" x14ac:dyDescent="0.2">
      <c r="A166" s="153">
        <v>39692</v>
      </c>
      <c r="B166" s="25">
        <v>7.0000000000000001E-3</v>
      </c>
    </row>
    <row r="167" spans="1:2" x14ac:dyDescent="0.2">
      <c r="A167" s="153">
        <v>39722</v>
      </c>
      <c r="B167" s="25">
        <v>7.4999999999999997E-3</v>
      </c>
    </row>
    <row r="168" spans="1:2" x14ac:dyDescent="0.2">
      <c r="A168" s="153">
        <v>39753</v>
      </c>
      <c r="B168" s="25">
        <v>6.6E-3</v>
      </c>
    </row>
    <row r="169" spans="1:2" x14ac:dyDescent="0.2">
      <c r="A169" s="153">
        <v>39783</v>
      </c>
      <c r="B169" s="25">
        <v>7.1999999999999998E-3</v>
      </c>
    </row>
    <row r="170" spans="1:2" x14ac:dyDescent="0.2">
      <c r="A170" s="153">
        <v>39814</v>
      </c>
      <c r="B170" s="25">
        <v>6.7999999999999996E-3</v>
      </c>
    </row>
    <row r="171" spans="1:2" x14ac:dyDescent="0.2">
      <c r="A171" s="153">
        <v>39845</v>
      </c>
      <c r="B171" s="25">
        <v>5.4999999999999997E-3</v>
      </c>
    </row>
    <row r="172" spans="1:2" x14ac:dyDescent="0.2">
      <c r="A172" s="153">
        <v>39873</v>
      </c>
      <c r="B172" s="25">
        <v>6.4000000000000003E-3</v>
      </c>
    </row>
    <row r="173" spans="1:2" x14ac:dyDescent="0.2">
      <c r="A173" s="153">
        <v>39904</v>
      </c>
      <c r="B173" s="25">
        <v>5.4999999999999997E-3</v>
      </c>
    </row>
    <row r="174" spans="1:2" x14ac:dyDescent="0.2">
      <c r="A174" s="153">
        <v>39934</v>
      </c>
      <c r="B174" s="25">
        <v>5.4999999999999997E-3</v>
      </c>
    </row>
    <row r="175" spans="1:2" x14ac:dyDescent="0.2">
      <c r="A175" s="153">
        <v>39965</v>
      </c>
      <c r="B175" s="25">
        <v>5.7000000000000002E-3</v>
      </c>
    </row>
    <row r="176" spans="1:2" x14ac:dyDescent="0.2">
      <c r="A176" s="153">
        <v>39995</v>
      </c>
      <c r="B176" s="25">
        <v>6.1000000000000004E-3</v>
      </c>
    </row>
    <row r="177" spans="1:2" x14ac:dyDescent="0.2">
      <c r="A177" s="153">
        <v>40026</v>
      </c>
      <c r="B177" s="25">
        <v>5.1999999999999998E-3</v>
      </c>
    </row>
    <row r="178" spans="1:2" x14ac:dyDescent="0.2">
      <c r="A178" s="153">
        <v>40057</v>
      </c>
      <c r="B178" s="25">
        <v>5.0000000000000001E-3</v>
      </c>
    </row>
    <row r="179" spans="1:2" x14ac:dyDescent="0.2">
      <c r="A179" s="153">
        <v>40087</v>
      </c>
      <c r="B179" s="25">
        <v>5.0000000000000001E-3</v>
      </c>
    </row>
    <row r="180" spans="1:2" x14ac:dyDescent="0.2">
      <c r="A180" s="153">
        <v>40118</v>
      </c>
      <c r="B180" s="25">
        <v>5.0000000000000001E-3</v>
      </c>
    </row>
    <row r="181" spans="1:2" x14ac:dyDescent="0.2">
      <c r="A181" s="153">
        <v>40148</v>
      </c>
      <c r="B181" s="25">
        <v>5.4999999999999997E-3</v>
      </c>
    </row>
    <row r="182" spans="1:2" x14ac:dyDescent="0.2">
      <c r="A182" s="153">
        <v>40179</v>
      </c>
      <c r="B182" s="25">
        <v>5.0000000000000001E-3</v>
      </c>
    </row>
    <row r="183" spans="1:2" x14ac:dyDescent="0.2">
      <c r="A183" s="153">
        <v>40210</v>
      </c>
      <c r="B183" s="25">
        <v>5.0000000000000001E-3</v>
      </c>
    </row>
    <row r="184" spans="1:2" x14ac:dyDescent="0.2">
      <c r="A184" s="153">
        <v>40238</v>
      </c>
      <c r="B184" s="25">
        <v>5.7999999999999996E-3</v>
      </c>
    </row>
    <row r="185" spans="1:2" x14ac:dyDescent="0.2">
      <c r="A185" s="153">
        <v>40269</v>
      </c>
      <c r="B185" s="25">
        <v>5.0000000000000001E-3</v>
      </c>
    </row>
    <row r="186" spans="1:2" x14ac:dyDescent="0.2">
      <c r="A186" s="153">
        <v>40299</v>
      </c>
      <c r="B186" s="25">
        <v>5.4999999999999997E-3</v>
      </c>
    </row>
    <row r="187" spans="1:2" x14ac:dyDescent="0.2">
      <c r="A187" s="153">
        <v>40330</v>
      </c>
      <c r="B187" s="25">
        <v>5.5999999999999999E-3</v>
      </c>
    </row>
    <row r="188" spans="1:2" x14ac:dyDescent="0.2">
      <c r="A188" s="153">
        <v>40360</v>
      </c>
      <c r="B188" s="25">
        <v>6.1999999999999998E-3</v>
      </c>
    </row>
    <row r="189" spans="1:2" x14ac:dyDescent="0.2">
      <c r="A189" s="153">
        <v>40391</v>
      </c>
      <c r="B189" s="25">
        <v>5.8999999999999999E-3</v>
      </c>
    </row>
    <row r="190" spans="1:2" x14ac:dyDescent="0.2">
      <c r="A190" s="153">
        <v>40422</v>
      </c>
      <c r="B190" s="25">
        <v>5.7000000000000002E-3</v>
      </c>
    </row>
    <row r="191" spans="1:2" x14ac:dyDescent="0.2">
      <c r="A191" s="153">
        <v>40452</v>
      </c>
      <c r="B191" s="25">
        <v>5.4999999999999997E-3</v>
      </c>
    </row>
    <row r="192" spans="1:2" x14ac:dyDescent="0.2">
      <c r="A192" s="153">
        <v>40483</v>
      </c>
      <c r="B192" s="25">
        <v>5.3E-3</v>
      </c>
    </row>
    <row r="193" spans="1:2" x14ac:dyDescent="0.2">
      <c r="A193" s="153">
        <v>40513</v>
      </c>
      <c r="B193" s="25">
        <v>6.4000000000000003E-3</v>
      </c>
    </row>
    <row r="194" spans="1:2" x14ac:dyDescent="0.2">
      <c r="A194" s="153">
        <v>40544</v>
      </c>
      <c r="B194" s="25">
        <v>5.7000000000000002E-3</v>
      </c>
    </row>
    <row r="195" spans="1:2" x14ac:dyDescent="0.2">
      <c r="A195" s="153">
        <v>40575</v>
      </c>
      <c r="B195" s="25">
        <v>5.4999999999999997E-3</v>
      </c>
    </row>
    <row r="196" spans="1:2" x14ac:dyDescent="0.2">
      <c r="A196" s="153">
        <v>40603</v>
      </c>
      <c r="B196" s="25">
        <v>6.1999999999999998E-3</v>
      </c>
    </row>
    <row r="197" spans="1:2" x14ac:dyDescent="0.2">
      <c r="A197" s="153">
        <v>40634</v>
      </c>
      <c r="B197" s="25">
        <v>5.4000000000000003E-3</v>
      </c>
    </row>
    <row r="198" spans="1:2" x14ac:dyDescent="0.2">
      <c r="A198" s="153">
        <v>40664</v>
      </c>
      <c r="B198" s="25">
        <v>6.6E-3</v>
      </c>
    </row>
    <row r="199" spans="1:2" x14ac:dyDescent="0.2">
      <c r="A199" s="153">
        <v>40695</v>
      </c>
      <c r="B199" s="25">
        <v>6.1000000000000004E-3</v>
      </c>
    </row>
    <row r="200" spans="1:2" x14ac:dyDescent="0.2">
      <c r="A200" s="153">
        <v>40725</v>
      </c>
      <c r="B200" s="25">
        <v>6.1999999999999998E-3</v>
      </c>
    </row>
    <row r="201" spans="1:2" x14ac:dyDescent="0.2">
      <c r="A201" s="153">
        <v>40756</v>
      </c>
      <c r="B201" s="25">
        <v>7.1000000000000004E-3</v>
      </c>
    </row>
    <row r="202" spans="1:2" x14ac:dyDescent="0.2">
      <c r="A202" s="153">
        <v>40787</v>
      </c>
      <c r="B202" s="25">
        <v>6.0000000000000001E-3</v>
      </c>
    </row>
    <row r="203" spans="1:2" x14ac:dyDescent="0.2">
      <c r="A203" s="153">
        <v>40817</v>
      </c>
      <c r="B203" s="25">
        <v>5.5999999999999999E-3</v>
      </c>
    </row>
    <row r="204" spans="1:2" x14ac:dyDescent="0.2">
      <c r="A204" s="153">
        <v>40848</v>
      </c>
      <c r="B204" s="25">
        <v>5.5999999999999999E-3</v>
      </c>
    </row>
    <row r="205" spans="1:2" x14ac:dyDescent="0.2">
      <c r="A205" s="153">
        <v>40878</v>
      </c>
      <c r="B205" s="25">
        <v>5.8999999999999999E-3</v>
      </c>
    </row>
    <row r="206" spans="1:2" x14ac:dyDescent="0.2">
      <c r="A206" s="153">
        <v>40909</v>
      </c>
      <c r="B206" s="25">
        <v>5.8999999999999999E-3</v>
      </c>
    </row>
    <row r="207" spans="1:2" x14ac:dyDescent="0.2">
      <c r="A207" s="153">
        <v>40940</v>
      </c>
      <c r="B207" s="25">
        <v>5.0000000000000001E-3</v>
      </c>
    </row>
    <row r="208" spans="1:2" x14ac:dyDescent="0.2">
      <c r="A208" s="153">
        <v>40969</v>
      </c>
      <c r="B208" s="25">
        <v>6.1000000000000004E-3</v>
      </c>
    </row>
    <row r="209" spans="1:2" x14ac:dyDescent="0.2">
      <c r="A209" s="153">
        <v>41000</v>
      </c>
      <c r="B209" s="25">
        <v>5.1999999999999998E-3</v>
      </c>
    </row>
    <row r="210" spans="1:2" x14ac:dyDescent="0.2">
      <c r="A210" s="153">
        <v>41030</v>
      </c>
      <c r="B210" s="25">
        <v>5.4999999999999997E-3</v>
      </c>
    </row>
    <row r="211" spans="1:2" x14ac:dyDescent="0.2">
      <c r="A211" s="153">
        <v>41061</v>
      </c>
      <c r="B211" s="25">
        <v>5.0000000000000001E-3</v>
      </c>
    </row>
    <row r="212" spans="1:2" x14ac:dyDescent="0.2">
      <c r="A212" s="153">
        <v>41091</v>
      </c>
      <c r="B212" s="25">
        <v>5.1000000000000004E-3</v>
      </c>
    </row>
    <row r="213" spans="1:2" x14ac:dyDescent="0.2">
      <c r="A213" s="153">
        <v>41122</v>
      </c>
      <c r="B213" s="25">
        <v>5.1000000000000004E-3</v>
      </c>
    </row>
    <row r="214" spans="1:2" x14ac:dyDescent="0.2">
      <c r="A214" s="153">
        <v>41153</v>
      </c>
      <c r="B214" s="25">
        <v>5.0000000000000001E-3</v>
      </c>
    </row>
    <row r="215" spans="1:2" x14ac:dyDescent="0.2">
      <c r="A215" s="153">
        <v>41183</v>
      </c>
      <c r="B215" s="25">
        <v>5.0000000000000001E-3</v>
      </c>
    </row>
    <row r="216" spans="1:2" x14ac:dyDescent="0.2">
      <c r="A216" s="153">
        <v>41214</v>
      </c>
      <c r="B216" s="25">
        <v>5.0000000000000001E-3</v>
      </c>
    </row>
    <row r="217" spans="1:2" x14ac:dyDescent="0.2">
      <c r="A217" s="153">
        <v>41244</v>
      </c>
      <c r="B217" s="25">
        <v>5.0000000000000001E-3</v>
      </c>
    </row>
    <row r="218" spans="1:2" x14ac:dyDescent="0.2">
      <c r="A218" s="153">
        <v>41275</v>
      </c>
      <c r="B218" s="25">
        <v>5.0000000000000001E-3</v>
      </c>
    </row>
    <row r="219" spans="1:2" x14ac:dyDescent="0.2">
      <c r="A219" s="153">
        <v>41306</v>
      </c>
      <c r="B219" s="25">
        <v>5.0000000000000001E-3</v>
      </c>
    </row>
    <row r="220" spans="1:2" x14ac:dyDescent="0.2">
      <c r="A220" s="153">
        <v>41334</v>
      </c>
      <c r="B220" s="25">
        <v>5.0000000000000001E-3</v>
      </c>
    </row>
    <row r="221" spans="1:2" x14ac:dyDescent="0.2">
      <c r="A221" s="153">
        <v>41365</v>
      </c>
      <c r="B221" s="25">
        <v>5.0000000000000001E-3</v>
      </c>
    </row>
    <row r="222" spans="1:2" x14ac:dyDescent="0.2">
      <c r="A222" s="153">
        <v>41395</v>
      </c>
      <c r="B222" s="25">
        <v>5.0000000000000001E-3</v>
      </c>
    </row>
    <row r="223" spans="1:2" x14ac:dyDescent="0.2">
      <c r="A223" s="153">
        <v>41426</v>
      </c>
      <c r="B223" s="25">
        <v>5.0000000000000001E-3</v>
      </c>
    </row>
    <row r="224" spans="1:2" x14ac:dyDescent="0.2">
      <c r="A224" s="153">
        <v>41456</v>
      </c>
      <c r="B224" s="25">
        <v>5.1999999999999998E-3</v>
      </c>
    </row>
    <row r="225" spans="1:2" x14ac:dyDescent="0.2">
      <c r="A225" s="153">
        <v>41487</v>
      </c>
      <c r="B225" s="25">
        <v>5.0000000000000001E-3</v>
      </c>
    </row>
    <row r="226" spans="1:2" x14ac:dyDescent="0.2">
      <c r="A226" s="153">
        <v>41518</v>
      </c>
      <c r="B226" s="25">
        <v>5.1000000000000004E-3</v>
      </c>
    </row>
    <row r="227" spans="1:2" x14ac:dyDescent="0.2">
      <c r="A227" s="153">
        <v>41548</v>
      </c>
      <c r="B227" s="25">
        <v>5.8999999999999999E-3</v>
      </c>
    </row>
    <row r="228" spans="1:2" x14ac:dyDescent="0.2">
      <c r="A228" s="153">
        <v>41579</v>
      </c>
      <c r="B228" s="25">
        <v>5.1999999999999998E-3</v>
      </c>
    </row>
    <row r="229" spans="1:2" x14ac:dyDescent="0.2">
      <c r="A229" s="153">
        <v>41609</v>
      </c>
      <c r="B229" s="25">
        <v>5.4999999999999997E-3</v>
      </c>
    </row>
    <row r="230" spans="1:2" x14ac:dyDescent="0.2">
      <c r="A230" s="153">
        <v>41640</v>
      </c>
      <c r="B230" s="25">
        <v>6.1000000000000004E-3</v>
      </c>
    </row>
    <row r="231" spans="1:2" x14ac:dyDescent="0.2">
      <c r="A231" s="153">
        <v>41671</v>
      </c>
      <c r="B231" s="25">
        <v>5.4999999999999997E-3</v>
      </c>
    </row>
    <row r="232" spans="1:2" x14ac:dyDescent="0.2">
      <c r="A232" s="153">
        <v>41699</v>
      </c>
      <c r="B232" s="25">
        <v>5.3E-3</v>
      </c>
    </row>
    <row r="233" spans="1:2" x14ac:dyDescent="0.2">
      <c r="A233" s="153">
        <v>41730</v>
      </c>
      <c r="B233" s="25">
        <v>5.4999999999999997E-3</v>
      </c>
    </row>
    <row r="234" spans="1:2" x14ac:dyDescent="0.2">
      <c r="A234" s="153">
        <v>41760</v>
      </c>
      <c r="B234" s="25">
        <v>5.5999999999999999E-3</v>
      </c>
    </row>
    <row r="235" spans="1:2" x14ac:dyDescent="0.2">
      <c r="A235" s="153">
        <v>41791</v>
      </c>
      <c r="B235" s="25">
        <v>5.4999999999999997E-3</v>
      </c>
    </row>
    <row r="236" spans="1:2" x14ac:dyDescent="0.2">
      <c r="A236" s="153">
        <v>41821</v>
      </c>
      <c r="B236" s="25">
        <v>6.1000000000000004E-3</v>
      </c>
    </row>
    <row r="237" spans="1:2" x14ac:dyDescent="0.2">
      <c r="A237" s="153">
        <v>41852</v>
      </c>
      <c r="B237" s="25">
        <v>5.5999999999999999E-3</v>
      </c>
    </row>
    <row r="238" spans="1:2" x14ac:dyDescent="0.2">
      <c r="A238" s="153">
        <v>41883</v>
      </c>
      <c r="B238" s="25">
        <v>5.8999999999999999E-3</v>
      </c>
    </row>
    <row r="239" spans="1:2" x14ac:dyDescent="0.2">
      <c r="A239" s="153">
        <v>41913</v>
      </c>
      <c r="B239" s="25">
        <v>6.0000000000000001E-3</v>
      </c>
    </row>
    <row r="240" spans="1:2" x14ac:dyDescent="0.2">
      <c r="A240" s="153">
        <v>41944</v>
      </c>
      <c r="B240" s="25">
        <v>5.4999999999999997E-3</v>
      </c>
    </row>
    <row r="241" spans="1:2" x14ac:dyDescent="0.2">
      <c r="A241" s="153">
        <v>41974</v>
      </c>
      <c r="B241" s="25">
        <v>6.1000000000000004E-3</v>
      </c>
    </row>
    <row r="242" spans="1:2" x14ac:dyDescent="0.2">
      <c r="A242" s="153">
        <v>42005</v>
      </c>
      <c r="B242" s="25">
        <v>5.8999999999999999E-3</v>
      </c>
    </row>
    <row r="243" spans="1:2" x14ac:dyDescent="0.2">
      <c r="A243" s="153">
        <v>42036</v>
      </c>
      <c r="B243" s="25">
        <v>5.1999999999999998E-3</v>
      </c>
    </row>
    <row r="244" spans="1:2" x14ac:dyDescent="0.2">
      <c r="A244" s="153">
        <v>42064</v>
      </c>
      <c r="B244" s="25">
        <v>6.3E-3</v>
      </c>
    </row>
    <row r="245" spans="1:2" x14ac:dyDescent="0.2">
      <c r="A245" s="153">
        <v>42095</v>
      </c>
      <c r="B245" s="25">
        <v>6.1000000000000004E-3</v>
      </c>
    </row>
    <row r="246" spans="1:2" x14ac:dyDescent="0.2">
      <c r="A246" s="153">
        <v>42125</v>
      </c>
      <c r="B246" s="25">
        <v>6.1999999999999998E-3</v>
      </c>
    </row>
    <row r="247" spans="1:2" x14ac:dyDescent="0.2">
      <c r="A247" s="153">
        <v>42156</v>
      </c>
      <c r="B247" s="25">
        <v>6.7999999999999996E-3</v>
      </c>
    </row>
    <row r="248" spans="1:2" x14ac:dyDescent="0.2">
      <c r="A248" s="153">
        <v>42186</v>
      </c>
      <c r="B248" s="25">
        <v>7.3000000000000001E-3</v>
      </c>
    </row>
    <row r="249" spans="1:2" x14ac:dyDescent="0.2">
      <c r="A249" s="153">
        <v>42217</v>
      </c>
      <c r="B249" s="25">
        <v>6.8999999999999999E-3</v>
      </c>
    </row>
    <row r="250" spans="1:2" x14ac:dyDescent="0.2">
      <c r="A250" s="153">
        <v>42248</v>
      </c>
      <c r="B250" s="25">
        <v>6.8999999999999999E-3</v>
      </c>
    </row>
    <row r="251" spans="1:2" x14ac:dyDescent="0.2">
      <c r="A251" s="153">
        <v>42278</v>
      </c>
      <c r="B251" s="25">
        <v>6.7999999999999996E-3</v>
      </c>
    </row>
    <row r="252" spans="1:2" x14ac:dyDescent="0.2">
      <c r="A252" s="153">
        <v>42309</v>
      </c>
      <c r="B252" s="25">
        <v>6.3E-3</v>
      </c>
    </row>
    <row r="253" spans="1:2" x14ac:dyDescent="0.2">
      <c r="A253" s="153">
        <v>42339</v>
      </c>
      <c r="B253" s="25">
        <v>7.3000000000000001E-3</v>
      </c>
    </row>
    <row r="254" spans="1:2" x14ac:dyDescent="0.2">
      <c r="A254" s="153">
        <v>42370</v>
      </c>
      <c r="B254" s="25">
        <v>6.3E-3</v>
      </c>
    </row>
    <row r="255" spans="1:2" x14ac:dyDescent="0.2">
      <c r="A255" s="153">
        <v>42401</v>
      </c>
      <c r="B255" s="25">
        <v>6.0000000000000001E-3</v>
      </c>
    </row>
    <row r="256" spans="1:2" x14ac:dyDescent="0.2">
      <c r="A256" s="153">
        <v>42430</v>
      </c>
      <c r="B256" s="25">
        <v>7.1999999999999998E-3</v>
      </c>
    </row>
    <row r="257" spans="1:2" x14ac:dyDescent="0.2">
      <c r="A257" s="153">
        <v>42461</v>
      </c>
      <c r="B257" s="25">
        <v>6.3E-3</v>
      </c>
    </row>
    <row r="258" spans="1:2" x14ac:dyDescent="0.2">
      <c r="A258" s="153">
        <v>42491</v>
      </c>
      <c r="B258" s="25">
        <v>6.4999999999999997E-3</v>
      </c>
    </row>
    <row r="259" spans="1:2" x14ac:dyDescent="0.2">
      <c r="A259" s="153">
        <v>42522</v>
      </c>
      <c r="B259" s="25">
        <v>7.1000000000000004E-3</v>
      </c>
    </row>
    <row r="260" spans="1:2" x14ac:dyDescent="0.2">
      <c r="A260" s="153">
        <v>42552</v>
      </c>
      <c r="B260" s="25">
        <v>6.6E-3</v>
      </c>
    </row>
    <row r="261" spans="1:2" x14ac:dyDescent="0.2">
      <c r="A261" s="153">
        <v>42583</v>
      </c>
      <c r="B261" s="25">
        <v>7.6E-3</v>
      </c>
    </row>
    <row r="262" spans="1:2" x14ac:dyDescent="0.2">
      <c r="A262" s="153">
        <v>42614</v>
      </c>
      <c r="B262" s="25">
        <v>6.6E-3</v>
      </c>
    </row>
    <row r="263" spans="1:2" x14ac:dyDescent="0.2">
      <c r="A263" s="153">
        <v>42644</v>
      </c>
      <c r="B263" s="25">
        <v>6.6E-3</v>
      </c>
    </row>
    <row r="264" spans="1:2" x14ac:dyDescent="0.2">
      <c r="A264" s="153">
        <v>42675</v>
      </c>
      <c r="B264" s="25">
        <v>6.4000000000000003E-3</v>
      </c>
    </row>
    <row r="265" spans="1:2" x14ac:dyDescent="0.2">
      <c r="A265" s="153">
        <v>42705</v>
      </c>
      <c r="B265" s="25">
        <v>6.8999999999999999E-3</v>
      </c>
    </row>
    <row r="266" spans="1:2" x14ac:dyDescent="0.2">
      <c r="A266" s="153">
        <v>42736</v>
      </c>
      <c r="B266" s="25">
        <v>6.7000000000000002E-3</v>
      </c>
    </row>
    <row r="267" spans="1:2" x14ac:dyDescent="0.2">
      <c r="A267" s="153">
        <v>42767</v>
      </c>
      <c r="B267" s="25">
        <v>5.3E-3</v>
      </c>
    </row>
    <row r="268" spans="1:2" x14ac:dyDescent="0.2">
      <c r="A268" s="153">
        <v>42795</v>
      </c>
      <c r="B268" s="25">
        <v>6.4999999999999997E-3</v>
      </c>
    </row>
    <row r="269" spans="1:2" x14ac:dyDescent="0.2">
      <c r="A269" s="153">
        <v>42826</v>
      </c>
      <c r="B269" s="25">
        <v>5.0000000000000001E-3</v>
      </c>
    </row>
    <row r="270" spans="1:2" x14ac:dyDescent="0.2">
      <c r="A270" s="153">
        <v>42856</v>
      </c>
      <c r="B270" s="25">
        <v>5.7999999999999996E-3</v>
      </c>
    </row>
    <row r="271" spans="1:2" x14ac:dyDescent="0.2">
      <c r="A271" s="153">
        <v>42887</v>
      </c>
      <c r="B271" s="25">
        <v>5.4999999999999997E-3</v>
      </c>
    </row>
    <row r="272" spans="1:2" x14ac:dyDescent="0.2">
      <c r="A272" s="153">
        <v>42917</v>
      </c>
      <c r="B272" s="25">
        <v>5.5999999999999999E-3</v>
      </c>
    </row>
    <row r="273" spans="1:2" x14ac:dyDescent="0.2">
      <c r="A273" s="153">
        <v>42948</v>
      </c>
      <c r="B273" s="25">
        <v>5.4999999999999997E-3</v>
      </c>
    </row>
    <row r="274" spans="1:2" x14ac:dyDescent="0.2">
      <c r="A274" s="153">
        <v>42979</v>
      </c>
      <c r="B274" s="25">
        <v>5.0000000000000001E-3</v>
      </c>
    </row>
    <row r="275" spans="1:2" x14ac:dyDescent="0.2">
      <c r="A275" s="153">
        <v>43009</v>
      </c>
      <c r="B275" s="25">
        <v>4.7000000000000002E-3</v>
      </c>
    </row>
    <row r="276" spans="1:2" x14ac:dyDescent="0.2">
      <c r="A276" s="153">
        <v>43040</v>
      </c>
      <c r="B276" s="25">
        <v>4.3E-3</v>
      </c>
    </row>
    <row r="277" spans="1:2" x14ac:dyDescent="0.2">
      <c r="A277" s="153">
        <v>43070</v>
      </c>
      <c r="B277" s="25">
        <v>4.3E-3</v>
      </c>
    </row>
    <row r="278" spans="1:2" x14ac:dyDescent="0.2">
      <c r="A278" s="153">
        <v>43101</v>
      </c>
      <c r="B278" s="25">
        <v>4.0000000000000001E-3</v>
      </c>
    </row>
    <row r="279" spans="1:2" x14ac:dyDescent="0.2">
      <c r="A279" s="153">
        <v>43132</v>
      </c>
      <c r="B279" s="25">
        <v>4.0000000000000001E-3</v>
      </c>
    </row>
    <row r="280" spans="1:2" x14ac:dyDescent="0.2">
      <c r="A280" s="153">
        <v>43160</v>
      </c>
      <c r="B280" s="25">
        <v>3.8999999999999998E-3</v>
      </c>
    </row>
    <row r="281" spans="1:2" x14ac:dyDescent="0.2">
      <c r="A281" s="153">
        <v>43191</v>
      </c>
      <c r="B281" s="25">
        <v>3.7000000000000002E-3</v>
      </c>
    </row>
    <row r="282" spans="1:2" x14ac:dyDescent="0.2">
      <c r="A282" s="153">
        <v>43221</v>
      </c>
      <c r="B282" s="25">
        <v>3.7000000000000002E-3</v>
      </c>
    </row>
    <row r="283" spans="1:2" x14ac:dyDescent="0.2">
      <c r="A283" s="153">
        <v>43252</v>
      </c>
      <c r="B283" s="25">
        <v>3.7000000000000002E-3</v>
      </c>
    </row>
    <row r="284" spans="1:2" x14ac:dyDescent="0.2">
      <c r="A284" s="153">
        <v>43282</v>
      </c>
      <c r="B284" s="25">
        <v>3.7000000000000002E-3</v>
      </c>
    </row>
    <row r="285" spans="1:2" x14ac:dyDescent="0.2">
      <c r="A285" s="153">
        <v>43313</v>
      </c>
      <c r="B285" s="25">
        <v>3.7000000000000002E-3</v>
      </c>
    </row>
    <row r="286" spans="1:2" x14ac:dyDescent="0.2">
      <c r="A286" s="153">
        <v>43344</v>
      </c>
      <c r="B286" s="25">
        <v>3.7000000000000002E-3</v>
      </c>
    </row>
    <row r="287" spans="1:2" x14ac:dyDescent="0.2">
      <c r="A287" s="153">
        <v>43374</v>
      </c>
      <c r="B287" s="25">
        <v>3.7000000000000002E-3</v>
      </c>
    </row>
    <row r="288" spans="1:2" x14ac:dyDescent="0.2">
      <c r="A288" s="153">
        <v>43405</v>
      </c>
      <c r="B288" s="25">
        <v>3.7000000000000002E-3</v>
      </c>
    </row>
    <row r="289" spans="1:2" x14ac:dyDescent="0.2">
      <c r="A289" s="153">
        <v>43435</v>
      </c>
      <c r="B289" s="25">
        <v>3.7000000000000002E-3</v>
      </c>
    </row>
    <row r="290" spans="1:2" x14ac:dyDescent="0.2">
      <c r="A290" s="153">
        <v>43466</v>
      </c>
      <c r="B290" s="25">
        <v>3.7000000000000002E-3</v>
      </c>
    </row>
    <row r="291" spans="1:2" x14ac:dyDescent="0.2">
      <c r="A291" s="153">
        <v>43497</v>
      </c>
      <c r="B291" s="25">
        <v>3.7000000000000002E-3</v>
      </c>
    </row>
    <row r="292" spans="1:2" x14ac:dyDescent="0.2">
      <c r="A292" s="153">
        <v>43525</v>
      </c>
      <c r="B292" s="25">
        <v>3.7000000000000002E-3</v>
      </c>
    </row>
    <row r="293" spans="1:2" x14ac:dyDescent="0.2">
      <c r="A293" s="153">
        <v>43556</v>
      </c>
      <c r="B293" s="25">
        <v>3.7000000000000002E-3</v>
      </c>
    </row>
    <row r="294" spans="1:2" x14ac:dyDescent="0.2">
      <c r="A294" s="153">
        <v>43586</v>
      </c>
      <c r="B294" s="25">
        <v>3.7000000000000002E-3</v>
      </c>
    </row>
    <row r="295" spans="1:2" x14ac:dyDescent="0.2">
      <c r="A295" s="153">
        <v>43617</v>
      </c>
      <c r="B295" s="25">
        <v>3.7000000000000002E-3</v>
      </c>
    </row>
    <row r="296" spans="1:2" x14ac:dyDescent="0.2">
      <c r="A296" s="153">
        <v>43647</v>
      </c>
      <c r="B296" s="25">
        <v>3.7000000000000002E-3</v>
      </c>
    </row>
    <row r="297" spans="1:2" x14ac:dyDescent="0.2">
      <c r="A297" s="153">
        <v>43678</v>
      </c>
      <c r="B297" s="25">
        <v>3.3999999999999998E-3</v>
      </c>
    </row>
    <row r="298" spans="1:2" x14ac:dyDescent="0.2">
      <c r="A298" s="153">
        <v>43709</v>
      </c>
      <c r="B298" s="25">
        <v>3.3999999999999998E-3</v>
      </c>
    </row>
    <row r="299" spans="1:2" x14ac:dyDescent="0.2">
      <c r="A299" s="153">
        <v>43739</v>
      </c>
      <c r="B299" s="25">
        <v>3.2000000000000002E-3</v>
      </c>
    </row>
    <row r="300" spans="1:2" x14ac:dyDescent="0.2">
      <c r="A300" s="153">
        <v>43770</v>
      </c>
      <c r="B300" s="25">
        <v>2.8999999999999998E-3</v>
      </c>
    </row>
    <row r="301" spans="1:2" x14ac:dyDescent="0.2">
      <c r="A301" s="153">
        <v>43800</v>
      </c>
      <c r="B301" s="25">
        <v>2.8999999999999998E-3</v>
      </c>
    </row>
    <row r="302" spans="1:2" x14ac:dyDescent="0.2">
      <c r="A302" s="153">
        <v>43831</v>
      </c>
      <c r="B302" s="25">
        <v>2.5999999999999999E-3</v>
      </c>
    </row>
    <row r="303" spans="1:2" x14ac:dyDescent="0.2">
      <c r="A303" s="153">
        <v>43862</v>
      </c>
      <c r="B303" s="25">
        <v>2.5999999999999999E-3</v>
      </c>
    </row>
    <row r="304" spans="1:2" x14ac:dyDescent="0.2">
      <c r="A304" s="153">
        <v>43891</v>
      </c>
      <c r="B304" s="25">
        <v>2.3999999999999998E-3</v>
      </c>
    </row>
    <row r="305" spans="1:2" x14ac:dyDescent="0.2">
      <c r="A305" s="153">
        <v>43922</v>
      </c>
      <c r="B305" s="25">
        <v>2.0999999999999999E-3</v>
      </c>
    </row>
    <row r="306" spans="1:2" x14ac:dyDescent="0.2">
      <c r="A306" s="153">
        <v>43952</v>
      </c>
      <c r="B306" s="25">
        <v>2.0999999999999999E-3</v>
      </c>
    </row>
    <row r="307" spans="1:2" x14ac:dyDescent="0.2">
      <c r="A307" s="153">
        <v>43983</v>
      </c>
      <c r="B307" s="25">
        <v>1.7329999999999999E-3</v>
      </c>
    </row>
    <row r="308" spans="1:2" x14ac:dyDescent="0.2">
      <c r="A308" s="153">
        <v>44013</v>
      </c>
      <c r="B308" s="25">
        <v>1.3029999999999999E-3</v>
      </c>
    </row>
    <row r="309" spans="1:2" x14ac:dyDescent="0.2">
      <c r="A309" s="153">
        <v>44044</v>
      </c>
      <c r="B309" s="25">
        <v>1.2999999999999999E-3</v>
      </c>
    </row>
    <row r="310" spans="1:2" x14ac:dyDescent="0.2">
      <c r="A310" s="153">
        <v>44075</v>
      </c>
      <c r="B310" s="25">
        <v>1.1590000000000001E-3</v>
      </c>
    </row>
    <row r="311" spans="1:2" x14ac:dyDescent="0.2">
      <c r="A311" s="153">
        <v>44105</v>
      </c>
      <c r="B311" s="25">
        <v>1.1590000000000001E-3</v>
      </c>
    </row>
    <row r="312" spans="1:2" x14ac:dyDescent="0.2">
      <c r="A312" s="153">
        <v>44136</v>
      </c>
      <c r="B312" s="25">
        <v>1.1590000000000001E-3</v>
      </c>
    </row>
    <row r="313" spans="1:2" x14ac:dyDescent="0.2">
      <c r="A313" s="153">
        <v>44166</v>
      </c>
      <c r="B313" s="25">
        <v>1.1590000000000001E-3</v>
      </c>
    </row>
    <row r="314" spans="1:2" x14ac:dyDescent="0.2">
      <c r="A314" s="153">
        <v>44197</v>
      </c>
      <c r="B314" s="25">
        <v>1.1590000000000001E-3</v>
      </c>
    </row>
    <row r="315" spans="1:2" x14ac:dyDescent="0.2">
      <c r="A315" s="153">
        <v>44228</v>
      </c>
      <c r="B315" s="25">
        <v>1.1590000000000001E-3</v>
      </c>
    </row>
    <row r="316" spans="1:2" x14ac:dyDescent="0.2">
      <c r="A316" s="153">
        <v>44256</v>
      </c>
      <c r="B316" s="25">
        <v>1.1590000000000001E-3</v>
      </c>
    </row>
    <row r="317" spans="1:2" x14ac:dyDescent="0.2">
      <c r="A317" s="153">
        <v>44287</v>
      </c>
      <c r="B317" s="25">
        <v>1.5900000000000001E-3</v>
      </c>
    </row>
    <row r="318" spans="1:2" x14ac:dyDescent="0.2">
      <c r="A318" s="153">
        <v>44317</v>
      </c>
      <c r="B318" s="25">
        <v>1.5900000000000001E-3</v>
      </c>
    </row>
    <row r="319" spans="1:2" x14ac:dyDescent="0.2">
      <c r="A319" s="153">
        <v>44348</v>
      </c>
      <c r="B319" s="25">
        <v>2.019E-3</v>
      </c>
    </row>
    <row r="320" spans="1:2" x14ac:dyDescent="0.2">
      <c r="A320" s="153">
        <v>44378</v>
      </c>
      <c r="B320" s="25">
        <v>2.4459999999999998E-3</v>
      </c>
    </row>
    <row r="321" spans="1:2" x14ac:dyDescent="0.2">
      <c r="A321" s="153">
        <v>44409</v>
      </c>
      <c r="B321" s="25">
        <v>2.4459999999999998E-3</v>
      </c>
    </row>
    <row r="322" spans="1:2" x14ac:dyDescent="0.2">
      <c r="A322" s="153">
        <v>44440</v>
      </c>
      <c r="B322" s="25">
        <v>3.0119999999999999E-3</v>
      </c>
    </row>
    <row r="323" spans="1:2" x14ac:dyDescent="0.2">
      <c r="A323" s="153">
        <v>44470</v>
      </c>
      <c r="B323" s="25">
        <v>3.5750000000000001E-3</v>
      </c>
    </row>
    <row r="324" spans="1:2" x14ac:dyDescent="0.2">
      <c r="A324" s="153">
        <v>44501</v>
      </c>
      <c r="B324" s="25">
        <v>4.4120000000000001E-3</v>
      </c>
    </row>
    <row r="325" spans="1:2" x14ac:dyDescent="0.2">
      <c r="A325" s="153">
        <v>44531</v>
      </c>
      <c r="B325" s="25">
        <v>4.9020000000000001E-3</v>
      </c>
    </row>
    <row r="326" spans="1:2" x14ac:dyDescent="0.2">
      <c r="A326" s="153">
        <v>44562</v>
      </c>
      <c r="B326" s="25">
        <v>5.6080000000000001E-3</v>
      </c>
    </row>
    <row r="327" spans="1:2" x14ac:dyDescent="0.2">
      <c r="A327" s="153">
        <v>44593</v>
      </c>
      <c r="B327" s="25">
        <v>5.0000000000000001E-3</v>
      </c>
    </row>
    <row r="328" spans="1:2" x14ac:dyDescent="0.2">
      <c r="A328" s="153">
        <v>44621</v>
      </c>
      <c r="B328" s="25">
        <v>5.9760000000000004E-3</v>
      </c>
    </row>
    <row r="329" spans="1:2" x14ac:dyDescent="0.2">
      <c r="A329" s="153">
        <v>44652</v>
      </c>
      <c r="B329" s="25">
        <v>5.5579999999999996E-3</v>
      </c>
    </row>
    <row r="330" spans="1:2" x14ac:dyDescent="0.2">
      <c r="A330" s="153">
        <v>44682</v>
      </c>
      <c r="B330" s="25">
        <v>6.6709999999999998E-3</v>
      </c>
    </row>
    <row r="331" spans="1:2" x14ac:dyDescent="0.2">
      <c r="A331" s="153">
        <v>44713</v>
      </c>
      <c r="B331" s="25">
        <v>6.4910000000000002E-3</v>
      </c>
    </row>
    <row r="332" spans="1:2" x14ac:dyDescent="0.2">
      <c r="A332" s="153">
        <v>44743</v>
      </c>
      <c r="B332" s="25">
        <v>6.6389999999999999E-3</v>
      </c>
    </row>
    <row r="333" spans="1:2" x14ac:dyDescent="0.2">
      <c r="A333" s="153">
        <v>44774</v>
      </c>
      <c r="B333" s="25">
        <v>7.4209999999999996E-3</v>
      </c>
    </row>
    <row r="334" spans="1:2" x14ac:dyDescent="0.2">
      <c r="A334" s="153">
        <v>44805</v>
      </c>
      <c r="B334" s="25">
        <v>6.8139999999999997E-3</v>
      </c>
    </row>
    <row r="335" spans="1:2" x14ac:dyDescent="0.2">
      <c r="A335" s="153">
        <v>44835</v>
      </c>
      <c r="B335" s="25">
        <v>6.5009999999999998E-3</v>
      </c>
    </row>
    <row r="336" spans="1:2" x14ac:dyDescent="0.2">
      <c r="A336" s="153">
        <v>44866</v>
      </c>
      <c r="B336" s="25">
        <v>6.515E-3</v>
      </c>
    </row>
    <row r="337" spans="1:2" x14ac:dyDescent="0.2">
      <c r="A337" s="153">
        <v>44896</v>
      </c>
      <c r="B337" s="25">
        <v>7.0819999999999998E-3</v>
      </c>
    </row>
    <row r="338" spans="1:2" x14ac:dyDescent="0.2">
      <c r="A338" s="153">
        <v>44927</v>
      </c>
      <c r="B338" s="25">
        <v>7.0910000000000001E-3</v>
      </c>
    </row>
    <row r="339" spans="1:2" x14ac:dyDescent="0.2">
      <c r="A339" s="153">
        <v>44958</v>
      </c>
      <c r="B339" s="25">
        <v>5.8339999999999998E-3</v>
      </c>
    </row>
    <row r="340" spans="1:2" x14ac:dyDescent="0.2">
      <c r="A340" s="153">
        <v>44986</v>
      </c>
      <c r="B340" s="25"/>
    </row>
    <row r="341" spans="1:2" x14ac:dyDescent="0.2">
      <c r="A341" s="153">
        <v>45017</v>
      </c>
      <c r="B341" s="25"/>
    </row>
    <row r="342" spans="1:2" x14ac:dyDescent="0.2">
      <c r="A342" s="153">
        <v>45047</v>
      </c>
      <c r="B342" s="25"/>
    </row>
    <row r="343" spans="1:2" x14ac:dyDescent="0.2">
      <c r="A343" s="153">
        <v>45078</v>
      </c>
      <c r="B343" s="25"/>
    </row>
    <row r="344" spans="1:2" x14ac:dyDescent="0.2">
      <c r="A344" s="153">
        <v>45108</v>
      </c>
      <c r="B344" s="25"/>
    </row>
    <row r="345" spans="1:2" x14ac:dyDescent="0.2">
      <c r="A345" s="153">
        <v>45139</v>
      </c>
      <c r="B345" s="25"/>
    </row>
    <row r="346" spans="1:2" x14ac:dyDescent="0.2">
      <c r="A346" s="153">
        <v>45170</v>
      </c>
      <c r="B346" s="25"/>
    </row>
    <row r="347" spans="1:2" x14ac:dyDescent="0.2">
      <c r="A347" s="153">
        <v>45200</v>
      </c>
      <c r="B347" s="25"/>
    </row>
    <row r="348" spans="1:2" x14ac:dyDescent="0.2">
      <c r="A348" s="153">
        <v>45231</v>
      </c>
      <c r="B348" s="25"/>
    </row>
    <row r="349" spans="1:2" x14ac:dyDescent="0.2">
      <c r="A349" s="153">
        <v>45261</v>
      </c>
      <c r="B349" s="25"/>
    </row>
    <row r="350" spans="1:2" x14ac:dyDescent="0.2">
      <c r="A350" s="153">
        <v>45292</v>
      </c>
      <c r="B350" s="25"/>
    </row>
    <row r="351" spans="1:2" x14ac:dyDescent="0.2">
      <c r="A351" s="153">
        <v>45323</v>
      </c>
      <c r="B351" s="25"/>
    </row>
    <row r="352" spans="1:2" x14ac:dyDescent="0.2">
      <c r="A352" s="153">
        <v>45352</v>
      </c>
      <c r="B352" s="25"/>
    </row>
    <row r="353" spans="1:2" x14ac:dyDescent="0.2">
      <c r="A353" s="153">
        <v>45383</v>
      </c>
      <c r="B353" s="25"/>
    </row>
    <row r="354" spans="1:2" x14ac:dyDescent="0.2">
      <c r="A354" s="153">
        <v>45413</v>
      </c>
      <c r="B354" s="25"/>
    </row>
    <row r="355" spans="1:2" x14ac:dyDescent="0.2">
      <c r="A355" s="153">
        <v>45444</v>
      </c>
      <c r="B355" s="25"/>
    </row>
    <row r="356" spans="1:2" x14ac:dyDescent="0.2">
      <c r="A356" s="153">
        <v>45474</v>
      </c>
      <c r="B356" s="25"/>
    </row>
    <row r="357" spans="1:2" x14ac:dyDescent="0.2">
      <c r="A357" s="153">
        <v>45505</v>
      </c>
      <c r="B357" s="25"/>
    </row>
    <row r="358" spans="1:2" x14ac:dyDescent="0.2">
      <c r="A358" s="153">
        <v>45536</v>
      </c>
      <c r="B358" s="25"/>
    </row>
    <row r="359" spans="1:2" x14ac:dyDescent="0.2">
      <c r="A359" s="153">
        <v>45566</v>
      </c>
      <c r="B359" s="25"/>
    </row>
    <row r="360" spans="1:2" x14ac:dyDescent="0.2">
      <c r="A360" s="153">
        <v>45597</v>
      </c>
      <c r="B360" s="25"/>
    </row>
    <row r="361" spans="1:2" x14ac:dyDescent="0.2">
      <c r="A361" s="153">
        <v>45627</v>
      </c>
      <c r="B361" s="25"/>
    </row>
    <row r="362" spans="1:2" x14ac:dyDescent="0.2">
      <c r="A362" s="24"/>
      <c r="B362" s="25"/>
    </row>
  </sheetData>
  <mergeCells count="1">
    <mergeCell ref="A1:B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3531-8DAC-471F-B2C5-0C353F9B0C43}">
  <sheetPr codeName="Plan07"/>
  <dimension ref="A1:X94"/>
  <sheetViews>
    <sheetView tabSelected="1" topLeftCell="D1" zoomScaleNormal="100" workbookViewId="0">
      <selection activeCell="C11" sqref="C11"/>
    </sheetView>
  </sheetViews>
  <sheetFormatPr defaultRowHeight="12.75" x14ac:dyDescent="0.2"/>
  <cols>
    <col min="2" max="2" width="3.5703125" customWidth="1"/>
    <col min="3" max="4" width="10.5703125" customWidth="1"/>
    <col min="5" max="5" width="8.85546875" customWidth="1"/>
    <col min="6" max="6" width="6.85546875" customWidth="1"/>
    <col min="7" max="8" width="9.42578125" customWidth="1"/>
    <col min="9" max="9" width="11" bestFit="1" customWidth="1"/>
    <col min="10" max="10" width="6.85546875" customWidth="1"/>
    <col min="11" max="11" width="10.5703125" bestFit="1" customWidth="1"/>
    <col min="12" max="12" width="6.85546875" customWidth="1"/>
    <col min="13" max="13" width="8" bestFit="1" customWidth="1"/>
    <col min="14" max="14" width="6.85546875" customWidth="1"/>
    <col min="16" max="16" width="6.85546875" customWidth="1"/>
    <col min="19" max="19" width="9.5703125" customWidth="1"/>
    <col min="20" max="20" width="11.140625" customWidth="1"/>
    <col min="21" max="21" width="7.5703125" customWidth="1"/>
    <col min="22" max="23" width="11.140625" customWidth="1"/>
  </cols>
  <sheetData>
    <row r="1" spans="1:24" x14ac:dyDescent="0.2">
      <c r="A1" s="230" t="s">
        <v>15</v>
      </c>
      <c r="B1" s="231"/>
      <c r="C1" s="232"/>
      <c r="D1" s="160"/>
      <c r="E1" s="163"/>
      <c r="F1" s="7"/>
      <c r="G1" s="7"/>
      <c r="H1" s="7"/>
      <c r="I1" s="164"/>
      <c r="J1" s="165"/>
      <c r="K1" s="4" t="s">
        <v>21</v>
      </c>
      <c r="L1" s="166">
        <v>36850</v>
      </c>
      <c r="M1" s="2"/>
      <c r="N1" s="167" t="s">
        <v>61</v>
      </c>
      <c r="O1" s="233" t="s">
        <v>60</v>
      </c>
      <c r="P1" s="234"/>
      <c r="Q1" s="235"/>
      <c r="R1" s="47"/>
      <c r="T1" s="156"/>
      <c r="U1" s="236"/>
      <c r="V1" s="236"/>
      <c r="W1" s="159"/>
      <c r="X1" s="157"/>
    </row>
    <row r="2" spans="1:24" x14ac:dyDescent="0.2">
      <c r="A2" s="230" t="s">
        <v>16</v>
      </c>
      <c r="B2" s="231"/>
      <c r="C2" s="232"/>
      <c r="D2" s="161"/>
      <c r="E2" s="8"/>
      <c r="F2" s="8"/>
      <c r="G2" s="8"/>
      <c r="H2" s="8"/>
      <c r="I2" s="4" t="s">
        <v>54</v>
      </c>
      <c r="J2" s="168">
        <v>0.05</v>
      </c>
      <c r="K2" s="167" t="s">
        <v>53</v>
      </c>
      <c r="L2" s="169" t="s">
        <v>56</v>
      </c>
      <c r="M2" s="2"/>
      <c r="N2" s="170"/>
      <c r="O2" s="170"/>
      <c r="P2" s="170"/>
      <c r="Q2" s="170">
        <f>T1-L1</f>
        <v>-36850</v>
      </c>
      <c r="R2" s="47"/>
      <c r="S2" s="47"/>
      <c r="T2" s="47"/>
      <c r="U2" s="236"/>
      <c r="V2" s="236"/>
      <c r="W2" s="158"/>
      <c r="X2" s="157"/>
    </row>
    <row r="3" spans="1:24" x14ac:dyDescent="0.2">
      <c r="A3" s="230" t="s">
        <v>17</v>
      </c>
      <c r="B3" s="231"/>
      <c r="C3" s="232"/>
      <c r="D3" s="161"/>
      <c r="E3" s="171"/>
      <c r="F3" s="172"/>
      <c r="G3" s="172"/>
      <c r="H3" s="172"/>
      <c r="I3" s="173" t="s">
        <v>22</v>
      </c>
      <c r="J3" s="174"/>
      <c r="K3" s="2"/>
      <c r="L3" s="2"/>
      <c r="M3" s="2"/>
      <c r="N3" s="2"/>
      <c r="O3" s="2"/>
      <c r="P3" s="2"/>
      <c r="Q3" s="2"/>
      <c r="R3" s="47"/>
      <c r="S3" s="47"/>
      <c r="T3" s="47"/>
      <c r="U3" s="47"/>
      <c r="V3" s="47"/>
      <c r="W3" s="47"/>
      <c r="X3" s="157"/>
    </row>
    <row r="4" spans="1:24" x14ac:dyDescent="0.2">
      <c r="A4" s="4" t="s">
        <v>51</v>
      </c>
      <c r="B4" s="53"/>
      <c r="C4" s="8"/>
      <c r="D4" s="7"/>
      <c r="E4" s="175" t="s">
        <v>52</v>
      </c>
      <c r="F4" s="53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8"/>
    </row>
    <row r="5" spans="1:24" ht="13.5" thickBo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4" ht="13.5" thickBot="1" x14ac:dyDescent="0.25">
      <c r="A6" s="192" t="s">
        <v>0</v>
      </c>
      <c r="B6" s="193"/>
      <c r="C6" s="193"/>
      <c r="D6" s="193"/>
      <c r="E6" s="193"/>
      <c r="F6" s="193"/>
      <c r="G6" s="193"/>
      <c r="H6" s="193"/>
      <c r="I6" s="193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193"/>
      <c r="U6" s="193"/>
      <c r="V6" s="193"/>
      <c r="W6" s="194"/>
    </row>
    <row r="7" spans="1:24" ht="13.5" thickBot="1" x14ac:dyDescent="0.25">
      <c r="A7" s="223" t="s">
        <v>1</v>
      </c>
      <c r="B7" s="225" t="s">
        <v>49</v>
      </c>
      <c r="C7" s="203" t="s">
        <v>18</v>
      </c>
      <c r="D7" s="204"/>
      <c r="E7" s="205"/>
      <c r="F7" s="203" t="s">
        <v>19</v>
      </c>
      <c r="G7" s="204"/>
      <c r="H7" s="204"/>
      <c r="I7" s="205"/>
      <c r="J7" s="203" t="s">
        <v>50</v>
      </c>
      <c r="K7" s="205"/>
      <c r="L7" s="203" t="s">
        <v>64</v>
      </c>
      <c r="M7" s="205"/>
      <c r="N7" s="203" t="s">
        <v>65</v>
      </c>
      <c r="O7" s="205"/>
      <c r="P7" s="203" t="s">
        <v>69</v>
      </c>
      <c r="Q7" s="205"/>
      <c r="R7" s="228" t="s">
        <v>67</v>
      </c>
      <c r="S7" s="210" t="s">
        <v>20</v>
      </c>
      <c r="T7" s="210" t="s">
        <v>2</v>
      </c>
      <c r="U7" s="210" t="s">
        <v>3</v>
      </c>
      <c r="V7" s="210" t="s">
        <v>4</v>
      </c>
      <c r="W7" s="214" t="s">
        <v>5</v>
      </c>
    </row>
    <row r="8" spans="1:24" x14ac:dyDescent="0.2">
      <c r="A8" s="224"/>
      <c r="B8" s="226"/>
      <c r="C8" s="206" t="s">
        <v>62</v>
      </c>
      <c r="D8" s="220" t="s">
        <v>63</v>
      </c>
      <c r="E8" s="208" t="s">
        <v>68</v>
      </c>
      <c r="F8" s="206" t="s">
        <v>66</v>
      </c>
      <c r="G8" s="220" t="s">
        <v>62</v>
      </c>
      <c r="H8" s="220" t="s">
        <v>63</v>
      </c>
      <c r="I8" s="208" t="s">
        <v>68</v>
      </c>
      <c r="J8" s="206" t="s">
        <v>66</v>
      </c>
      <c r="K8" s="208" t="s">
        <v>68</v>
      </c>
      <c r="L8" s="206" t="s">
        <v>66</v>
      </c>
      <c r="M8" s="208" t="s">
        <v>68</v>
      </c>
      <c r="N8" s="206" t="s">
        <v>66</v>
      </c>
      <c r="O8" s="208" t="s">
        <v>68</v>
      </c>
      <c r="P8" s="206" t="s">
        <v>66</v>
      </c>
      <c r="Q8" s="212" t="s">
        <v>68</v>
      </c>
      <c r="R8" s="229"/>
      <c r="S8" s="211"/>
      <c r="T8" s="211"/>
      <c r="U8" s="211"/>
      <c r="V8" s="211"/>
      <c r="W8" s="215"/>
    </row>
    <row r="9" spans="1:24" x14ac:dyDescent="0.2">
      <c r="A9" s="190" t="s">
        <v>6</v>
      </c>
      <c r="B9" s="227"/>
      <c r="C9" s="207"/>
      <c r="D9" s="221"/>
      <c r="E9" s="209"/>
      <c r="F9" s="207"/>
      <c r="G9" s="221"/>
      <c r="H9" s="221"/>
      <c r="I9" s="209"/>
      <c r="J9" s="207"/>
      <c r="K9" s="209"/>
      <c r="L9" s="207"/>
      <c r="M9" s="209"/>
      <c r="N9" s="207"/>
      <c r="O9" s="209"/>
      <c r="P9" s="207"/>
      <c r="Q9" s="213"/>
      <c r="R9" s="181" t="s">
        <v>7</v>
      </c>
      <c r="S9" s="1" t="s">
        <v>8</v>
      </c>
      <c r="T9" s="1" t="s">
        <v>9</v>
      </c>
      <c r="U9" s="1" t="s">
        <v>10</v>
      </c>
      <c r="V9" s="1" t="s">
        <v>11</v>
      </c>
      <c r="W9" s="182" t="s">
        <v>12</v>
      </c>
    </row>
    <row r="10" spans="1:24" x14ac:dyDescent="0.2">
      <c r="A10" s="191">
        <v>35827</v>
      </c>
      <c r="B10" s="197" t="str">
        <f>IFERROR(MATCH(C10,_xlfn.XLOOKUP(A10,EvolSalarial!$A$2:$A$349,EvolSalarial!$B$2:$Z$349),0),"-")</f>
        <v>-</v>
      </c>
      <c r="C10" s="185">
        <v>0</v>
      </c>
      <c r="D10" s="195">
        <f>IF(B10="-",C10,IF(B10=0, 0, VLOOKUP(A10,EvolSalarialCorreta!$A$2:$Z$217,B10+1,TRUE)))</f>
        <v>0</v>
      </c>
      <c r="E10" s="176">
        <f t="shared" ref="E10:E68" si="0">D10-C10</f>
        <v>0</v>
      </c>
      <c r="F10" s="179">
        <f>IFERROR(G10/C10,0)</f>
        <v>0</v>
      </c>
      <c r="G10" s="162">
        <v>0</v>
      </c>
      <c r="H10" s="195">
        <f>D10*F10</f>
        <v>0</v>
      </c>
      <c r="I10" s="176">
        <f t="shared" ref="I10:I68" si="1">H10-G10</f>
        <v>0</v>
      </c>
      <c r="J10" s="179">
        <v>0</v>
      </c>
      <c r="K10" s="178">
        <f t="shared" ref="K10:K68" si="2">E10*J10</f>
        <v>0</v>
      </c>
      <c r="L10" s="179">
        <v>0</v>
      </c>
      <c r="M10" s="177">
        <f t="shared" ref="M10:M68" si="3">E10*L10</f>
        <v>0</v>
      </c>
      <c r="N10" s="179">
        <v>0</v>
      </c>
      <c r="O10" s="177">
        <f t="shared" ref="O10:O68" si="4">E10*N10</f>
        <v>0</v>
      </c>
      <c r="P10" s="179">
        <v>0</v>
      </c>
      <c r="Q10" s="180">
        <f>IF(MONTH(A10)=12,E10+I10,E10*P10)</f>
        <v>0</v>
      </c>
      <c r="R10" s="183">
        <f>SUM(E10+I10+K10+M10+O10+Q10)</f>
        <v>0</v>
      </c>
      <c r="S10" s="9">
        <f t="shared" ref="S10:S40" ca="1" si="5">AtualMon(A10,$L$2)</f>
        <v>4.2243094000000001</v>
      </c>
      <c r="T10" s="6">
        <f t="shared" ref="T10:T64" ca="1" si="6">R10*S10</f>
        <v>0</v>
      </c>
      <c r="U10" s="3" cm="1">
        <f t="array" ref="U10">IF($O$1="0,5% ao mês", Juros($L$1,A10,$O$1),IF(A10&lt;$L$1,SUMIF(Juros!$A$2:$A$500,"&gt;="&amp;$L$1,Juros!$B$2:$B$500)*100,SUMIF(Juros!$A$2:$A$500,"&gt;="&amp;A10,Juros!$B$2:$B$500)*100))</f>
        <v>152.80979999999997</v>
      </c>
      <c r="V10" s="5">
        <f t="shared" ref="V10:V72" ca="1" si="7">(T10*U10/100)</f>
        <v>0</v>
      </c>
      <c r="W10" s="184">
        <f t="shared" ref="W10:W64" ca="1" si="8">(T10+V10)</f>
        <v>0</v>
      </c>
    </row>
    <row r="11" spans="1:24" x14ac:dyDescent="0.2">
      <c r="A11" s="191">
        <v>35855</v>
      </c>
      <c r="B11" s="197" t="str">
        <f>IFERROR(MATCH(C11,_xlfn.XLOOKUP(A11,EvolSalarial!$A$2:$A$349,EvolSalarial!$B$2:$Z$349),0),"-")</f>
        <v>-</v>
      </c>
      <c r="C11" s="185">
        <v>0</v>
      </c>
      <c r="D11" s="195">
        <f>IF(B11="-",C11,IF(B11=0, 0, VLOOKUP(A11,EvolSalarialCorreta!$A$2:$Z$217,B11+1,TRUE)))</f>
        <v>0</v>
      </c>
      <c r="E11" s="176">
        <f t="shared" si="0"/>
        <v>0</v>
      </c>
      <c r="F11" s="179">
        <f t="shared" ref="F11:F74" si="9">IFERROR(G11/C11,0)</f>
        <v>0</v>
      </c>
      <c r="G11" s="162">
        <v>0</v>
      </c>
      <c r="H11" s="195">
        <f t="shared" ref="H11:H74" si="10">D11*F11</f>
        <v>0</v>
      </c>
      <c r="I11" s="176">
        <f t="shared" si="1"/>
        <v>0</v>
      </c>
      <c r="J11" s="179">
        <v>0</v>
      </c>
      <c r="K11" s="178">
        <f t="shared" si="2"/>
        <v>0</v>
      </c>
      <c r="L11" s="179">
        <v>0</v>
      </c>
      <c r="M11" s="177">
        <f t="shared" si="3"/>
        <v>0</v>
      </c>
      <c r="N11" s="179">
        <v>0</v>
      </c>
      <c r="O11" s="177">
        <f t="shared" si="4"/>
        <v>0</v>
      </c>
      <c r="P11" s="179">
        <v>0</v>
      </c>
      <c r="Q11" s="180">
        <f t="shared" ref="Q11:Q74" si="11">IF(MONTH(A11)=12,E11+I11,E11*P11)</f>
        <v>0</v>
      </c>
      <c r="R11" s="183">
        <f t="shared" ref="R11:R74" si="12">SUM(E11+I11+K11+M11+O11+Q11)</f>
        <v>0</v>
      </c>
      <c r="S11" s="9">
        <f t="shared" ca="1" si="5"/>
        <v>4.2243094000000001</v>
      </c>
      <c r="T11" s="6">
        <f t="shared" ca="1" si="6"/>
        <v>0</v>
      </c>
      <c r="U11" s="3" cm="1">
        <f t="array" ref="U11">IF($O$1="0,5% ao mês", Juros($L$1,A11,$O$1),IF(A11&lt;$L$1,SUMIF(Juros!$A$2:$A$500,"&gt;="&amp;$L$1,Juros!$B$2:$B$500)*100,SUMIF(Juros!$A$2:$A$500,"&gt;="&amp;A11,Juros!$B$2:$B$500)*100))</f>
        <v>152.80979999999997</v>
      </c>
      <c r="V11" s="5">
        <f t="shared" ca="1" si="7"/>
        <v>0</v>
      </c>
      <c r="W11" s="184">
        <f t="shared" ca="1" si="8"/>
        <v>0</v>
      </c>
    </row>
    <row r="12" spans="1:24" x14ac:dyDescent="0.2">
      <c r="A12" s="191">
        <v>35886</v>
      </c>
      <c r="B12" s="197" t="str">
        <f>IFERROR(MATCH(C12,_xlfn.XLOOKUP(A12,EvolSalarial!$A$2:$A$349,EvolSalarial!$B$2:$Z$349),0),"-")</f>
        <v>-</v>
      </c>
      <c r="C12" s="185">
        <v>0</v>
      </c>
      <c r="D12" s="195">
        <f>IF(B12="-",C12,IF(B12=0, 0, VLOOKUP(A12,EvolSalarialCorreta!$A$2:$Z$217,B12+1,TRUE)))</f>
        <v>0</v>
      </c>
      <c r="E12" s="176">
        <f t="shared" si="0"/>
        <v>0</v>
      </c>
      <c r="F12" s="179">
        <f t="shared" si="9"/>
        <v>0</v>
      </c>
      <c r="G12" s="162">
        <v>0</v>
      </c>
      <c r="H12" s="195">
        <f t="shared" si="10"/>
        <v>0</v>
      </c>
      <c r="I12" s="176">
        <f t="shared" si="1"/>
        <v>0</v>
      </c>
      <c r="J12" s="179">
        <v>0</v>
      </c>
      <c r="K12" s="178">
        <f t="shared" si="2"/>
        <v>0</v>
      </c>
      <c r="L12" s="179">
        <v>0</v>
      </c>
      <c r="M12" s="177">
        <f t="shared" si="3"/>
        <v>0</v>
      </c>
      <c r="N12" s="179">
        <v>0</v>
      </c>
      <c r="O12" s="177">
        <f t="shared" si="4"/>
        <v>0</v>
      </c>
      <c r="P12" s="179">
        <v>0</v>
      </c>
      <c r="Q12" s="180">
        <f t="shared" si="11"/>
        <v>0</v>
      </c>
      <c r="R12" s="183">
        <f t="shared" si="12"/>
        <v>0</v>
      </c>
      <c r="S12" s="9">
        <f t="shared" ca="1" si="5"/>
        <v>4.2243094000000001</v>
      </c>
      <c r="T12" s="6">
        <f t="shared" ca="1" si="6"/>
        <v>0</v>
      </c>
      <c r="U12" s="3" cm="1">
        <f t="array" ref="U12">IF($O$1="0,5% ao mês", Juros($L$1,A12,$O$1),IF(A12&lt;$L$1,SUMIF(Juros!$A$2:$A$500,"&gt;="&amp;$L$1,Juros!$B$2:$B$500)*100,SUMIF(Juros!$A$2:$A$500,"&gt;="&amp;A12,Juros!$B$2:$B$500)*100))</f>
        <v>152.80979999999997</v>
      </c>
      <c r="V12" s="5">
        <f t="shared" ca="1" si="7"/>
        <v>0</v>
      </c>
      <c r="W12" s="184">
        <f t="shared" ca="1" si="8"/>
        <v>0</v>
      </c>
    </row>
    <row r="13" spans="1:24" x14ac:dyDescent="0.2">
      <c r="A13" s="191">
        <v>35916</v>
      </c>
      <c r="B13" s="197" t="str">
        <f>IFERROR(MATCH(C13,_xlfn.XLOOKUP(A13,EvolSalarial!$A$2:$A$349,EvolSalarial!$B$2:$Z$349),0),"-")</f>
        <v>-</v>
      </c>
      <c r="C13" s="185">
        <v>0</v>
      </c>
      <c r="D13" s="195">
        <f>IF(B13="-",C13,IF(B13=0, 0, VLOOKUP(A13,EvolSalarialCorreta!$A$2:$Z$217,B13+1,TRUE)))</f>
        <v>0</v>
      </c>
      <c r="E13" s="176">
        <f t="shared" si="0"/>
        <v>0</v>
      </c>
      <c r="F13" s="179">
        <f t="shared" si="9"/>
        <v>0</v>
      </c>
      <c r="G13" s="162">
        <v>0</v>
      </c>
      <c r="H13" s="195">
        <f t="shared" si="10"/>
        <v>0</v>
      </c>
      <c r="I13" s="176">
        <f t="shared" si="1"/>
        <v>0</v>
      </c>
      <c r="J13" s="179">
        <v>0</v>
      </c>
      <c r="K13" s="178">
        <f t="shared" si="2"/>
        <v>0</v>
      </c>
      <c r="L13" s="179">
        <v>0</v>
      </c>
      <c r="M13" s="177">
        <f t="shared" si="3"/>
        <v>0</v>
      </c>
      <c r="N13" s="179">
        <v>0</v>
      </c>
      <c r="O13" s="177">
        <f t="shared" si="4"/>
        <v>0</v>
      </c>
      <c r="P13" s="179">
        <v>0</v>
      </c>
      <c r="Q13" s="180">
        <f t="shared" si="11"/>
        <v>0</v>
      </c>
      <c r="R13" s="183">
        <f t="shared" si="12"/>
        <v>0</v>
      </c>
      <c r="S13" s="9">
        <f t="shared" ca="1" si="5"/>
        <v>4.2243094000000001</v>
      </c>
      <c r="T13" s="6">
        <f t="shared" ca="1" si="6"/>
        <v>0</v>
      </c>
      <c r="U13" s="3" cm="1">
        <f t="array" ref="U13">IF($O$1="0,5% ao mês", Juros($L$1,A13,$O$1),IF(A13&lt;$L$1,SUMIF(Juros!$A$2:$A$500,"&gt;="&amp;$L$1,Juros!$B$2:$B$500)*100,SUMIF(Juros!$A$2:$A$500,"&gt;="&amp;A13,Juros!$B$2:$B$500)*100))</f>
        <v>152.80979999999997</v>
      </c>
      <c r="V13" s="5">
        <f t="shared" ca="1" si="7"/>
        <v>0</v>
      </c>
      <c r="W13" s="184">
        <f t="shared" ca="1" si="8"/>
        <v>0</v>
      </c>
    </row>
    <row r="14" spans="1:24" x14ac:dyDescent="0.2">
      <c r="A14" s="191">
        <v>35947</v>
      </c>
      <c r="B14" s="197" t="str">
        <f>IFERROR(MATCH(C14,_xlfn.XLOOKUP(A14,EvolSalarial!$A$2:$A$349,EvolSalarial!$B$2:$Z$349),0),"-")</f>
        <v>-</v>
      </c>
      <c r="C14" s="185">
        <v>0</v>
      </c>
      <c r="D14" s="195">
        <f>IF(B14="-",C14,IF(B14=0, 0, VLOOKUP(A14,EvolSalarialCorreta!$A$2:$Z$217,B14+1,TRUE)))</f>
        <v>0</v>
      </c>
      <c r="E14" s="176">
        <f t="shared" si="0"/>
        <v>0</v>
      </c>
      <c r="F14" s="179">
        <f t="shared" si="9"/>
        <v>0</v>
      </c>
      <c r="G14" s="162">
        <v>0</v>
      </c>
      <c r="H14" s="195">
        <f t="shared" si="10"/>
        <v>0</v>
      </c>
      <c r="I14" s="176">
        <f t="shared" si="1"/>
        <v>0</v>
      </c>
      <c r="J14" s="179">
        <v>0</v>
      </c>
      <c r="K14" s="178">
        <f t="shared" si="2"/>
        <v>0</v>
      </c>
      <c r="L14" s="179">
        <v>0</v>
      </c>
      <c r="M14" s="177">
        <f t="shared" si="3"/>
        <v>0</v>
      </c>
      <c r="N14" s="179">
        <v>0</v>
      </c>
      <c r="O14" s="177">
        <f t="shared" si="4"/>
        <v>0</v>
      </c>
      <c r="P14" s="179">
        <v>0</v>
      </c>
      <c r="Q14" s="180">
        <f t="shared" si="11"/>
        <v>0</v>
      </c>
      <c r="R14" s="183">
        <f t="shared" si="12"/>
        <v>0</v>
      </c>
      <c r="S14" s="9">
        <f t="shared" ca="1" si="5"/>
        <v>4.2243094000000001</v>
      </c>
      <c r="T14" s="6">
        <f t="shared" ca="1" si="6"/>
        <v>0</v>
      </c>
      <c r="U14" s="3" cm="1">
        <f t="array" ref="U14">IF($O$1="0,5% ao mês", Juros($L$1,A14,$O$1),IF(A14&lt;$L$1,SUMIF(Juros!$A$2:$A$500,"&gt;="&amp;$L$1,Juros!$B$2:$B$500)*100,SUMIF(Juros!$A$2:$A$500,"&gt;="&amp;A14,Juros!$B$2:$B$500)*100))</f>
        <v>152.80979999999997</v>
      </c>
      <c r="V14" s="5">
        <f t="shared" ca="1" si="7"/>
        <v>0</v>
      </c>
      <c r="W14" s="184">
        <f t="shared" ca="1" si="8"/>
        <v>0</v>
      </c>
    </row>
    <row r="15" spans="1:24" x14ac:dyDescent="0.2">
      <c r="A15" s="191">
        <v>35977</v>
      </c>
      <c r="B15" s="197" t="str">
        <f>IFERROR(MATCH(C15,_xlfn.XLOOKUP(A15,EvolSalarial!$A$2:$A$349,EvolSalarial!$B$2:$Z$349),0),"-")</f>
        <v>-</v>
      </c>
      <c r="C15" s="185">
        <v>0</v>
      </c>
      <c r="D15" s="195">
        <f>IF(B15="-",C15,IF(B15=0, 0, VLOOKUP(A15,EvolSalarialCorreta!$A$2:$Z$217,B15+1,TRUE)))</f>
        <v>0</v>
      </c>
      <c r="E15" s="176">
        <f t="shared" si="0"/>
        <v>0</v>
      </c>
      <c r="F15" s="179">
        <f t="shared" si="9"/>
        <v>0</v>
      </c>
      <c r="G15" s="162">
        <v>0</v>
      </c>
      <c r="H15" s="195">
        <f t="shared" si="10"/>
        <v>0</v>
      </c>
      <c r="I15" s="176">
        <f t="shared" si="1"/>
        <v>0</v>
      </c>
      <c r="J15" s="179">
        <v>0</v>
      </c>
      <c r="K15" s="178">
        <f t="shared" si="2"/>
        <v>0</v>
      </c>
      <c r="L15" s="179">
        <v>0</v>
      </c>
      <c r="M15" s="177">
        <f t="shared" si="3"/>
        <v>0</v>
      </c>
      <c r="N15" s="179">
        <v>0</v>
      </c>
      <c r="O15" s="177">
        <f t="shared" si="4"/>
        <v>0</v>
      </c>
      <c r="P15" s="179">
        <v>0</v>
      </c>
      <c r="Q15" s="180">
        <f t="shared" si="11"/>
        <v>0</v>
      </c>
      <c r="R15" s="183">
        <f t="shared" si="12"/>
        <v>0</v>
      </c>
      <c r="S15" s="9">
        <f t="shared" ca="1" si="5"/>
        <v>4.2243094000000001</v>
      </c>
      <c r="T15" s="6">
        <f t="shared" ca="1" si="6"/>
        <v>0</v>
      </c>
      <c r="U15" s="3" cm="1">
        <f t="array" ref="U15">IF($O$1="0,5% ao mês", Juros($L$1,A15,$O$1),IF(A15&lt;$L$1,SUMIF(Juros!$A$2:$A$500,"&gt;="&amp;$L$1,Juros!$B$2:$B$500)*100,SUMIF(Juros!$A$2:$A$500,"&gt;="&amp;A15,Juros!$B$2:$B$500)*100))</f>
        <v>152.80979999999997</v>
      </c>
      <c r="V15" s="5">
        <f t="shared" ca="1" si="7"/>
        <v>0</v>
      </c>
      <c r="W15" s="184">
        <f t="shared" ca="1" si="8"/>
        <v>0</v>
      </c>
    </row>
    <row r="16" spans="1:24" x14ac:dyDescent="0.2">
      <c r="A16" s="191">
        <v>36008</v>
      </c>
      <c r="B16" s="197" t="str">
        <f>IFERROR(MATCH(C16,_xlfn.XLOOKUP(A16,EvolSalarial!$A$2:$A$349,EvolSalarial!$B$2:$Z$349),0),"-")</f>
        <v>-</v>
      </c>
      <c r="C16" s="185">
        <v>0</v>
      </c>
      <c r="D16" s="195">
        <f>IF(B16="-",C16,IF(B16=0, 0, VLOOKUP(A16,EvolSalarialCorreta!$A$2:$Z$217,B16+1,TRUE)))</f>
        <v>0</v>
      </c>
      <c r="E16" s="176">
        <f t="shared" si="0"/>
        <v>0</v>
      </c>
      <c r="F16" s="179">
        <f t="shared" si="9"/>
        <v>0</v>
      </c>
      <c r="G16" s="162">
        <v>0</v>
      </c>
      <c r="H16" s="195">
        <f t="shared" si="10"/>
        <v>0</v>
      </c>
      <c r="I16" s="176">
        <f t="shared" si="1"/>
        <v>0</v>
      </c>
      <c r="J16" s="179">
        <v>0</v>
      </c>
      <c r="K16" s="178">
        <f t="shared" si="2"/>
        <v>0</v>
      </c>
      <c r="L16" s="179">
        <v>0</v>
      </c>
      <c r="M16" s="177">
        <f t="shared" si="3"/>
        <v>0</v>
      </c>
      <c r="N16" s="179">
        <v>0</v>
      </c>
      <c r="O16" s="177">
        <f t="shared" si="4"/>
        <v>0</v>
      </c>
      <c r="P16" s="179">
        <v>0</v>
      </c>
      <c r="Q16" s="180">
        <f t="shared" si="11"/>
        <v>0</v>
      </c>
      <c r="R16" s="183">
        <f t="shared" si="12"/>
        <v>0</v>
      </c>
      <c r="S16" s="9">
        <f t="shared" ca="1" si="5"/>
        <v>4.2243094000000001</v>
      </c>
      <c r="T16" s="6">
        <f t="shared" ca="1" si="6"/>
        <v>0</v>
      </c>
      <c r="U16" s="3" cm="1">
        <f t="array" ref="U16">IF($O$1="0,5% ao mês", Juros($L$1,A16,$O$1),IF(A16&lt;$L$1,SUMIF(Juros!$A$2:$A$500,"&gt;="&amp;$L$1,Juros!$B$2:$B$500)*100,SUMIF(Juros!$A$2:$A$500,"&gt;="&amp;A16,Juros!$B$2:$B$500)*100))</f>
        <v>152.80979999999997</v>
      </c>
      <c r="V16" s="5">
        <f t="shared" ca="1" si="7"/>
        <v>0</v>
      </c>
      <c r="W16" s="184">
        <f t="shared" ca="1" si="8"/>
        <v>0</v>
      </c>
    </row>
    <row r="17" spans="1:23" x14ac:dyDescent="0.2">
      <c r="A17" s="191">
        <v>36039</v>
      </c>
      <c r="B17" s="197" t="str">
        <f>IFERROR(MATCH(C17,_xlfn.XLOOKUP(A17,EvolSalarial!$A$2:$A$349,EvolSalarial!$B$2:$Z$349),0),"-")</f>
        <v>-</v>
      </c>
      <c r="C17" s="185">
        <v>0</v>
      </c>
      <c r="D17" s="195">
        <f>IF(B17="-",C17,IF(B17=0, 0, VLOOKUP(A17,EvolSalarialCorreta!$A$2:$Z$217,B17+1,TRUE)))</f>
        <v>0</v>
      </c>
      <c r="E17" s="176">
        <f t="shared" si="0"/>
        <v>0</v>
      </c>
      <c r="F17" s="179">
        <f t="shared" si="9"/>
        <v>0</v>
      </c>
      <c r="G17" s="162">
        <v>0</v>
      </c>
      <c r="H17" s="195">
        <f t="shared" si="10"/>
        <v>0</v>
      </c>
      <c r="I17" s="176">
        <f t="shared" si="1"/>
        <v>0</v>
      </c>
      <c r="J17" s="179">
        <v>0</v>
      </c>
      <c r="K17" s="178">
        <f t="shared" si="2"/>
        <v>0</v>
      </c>
      <c r="L17" s="179">
        <v>0</v>
      </c>
      <c r="M17" s="177">
        <f t="shared" si="3"/>
        <v>0</v>
      </c>
      <c r="N17" s="179">
        <v>0</v>
      </c>
      <c r="O17" s="177">
        <f t="shared" si="4"/>
        <v>0</v>
      </c>
      <c r="P17" s="179">
        <v>0</v>
      </c>
      <c r="Q17" s="180">
        <f t="shared" si="11"/>
        <v>0</v>
      </c>
      <c r="R17" s="183">
        <f t="shared" si="12"/>
        <v>0</v>
      </c>
      <c r="S17" s="9">
        <f t="shared" ca="1" si="5"/>
        <v>4.2243094000000001</v>
      </c>
      <c r="T17" s="6">
        <f t="shared" ca="1" si="6"/>
        <v>0</v>
      </c>
      <c r="U17" s="3" cm="1">
        <f t="array" ref="U17">IF($O$1="0,5% ao mês", Juros($L$1,A17,$O$1),IF(A17&lt;$L$1,SUMIF(Juros!$A$2:$A$500,"&gt;="&amp;$L$1,Juros!$B$2:$B$500)*100,SUMIF(Juros!$A$2:$A$500,"&gt;="&amp;A17,Juros!$B$2:$B$500)*100))</f>
        <v>152.80979999999997</v>
      </c>
      <c r="V17" s="5">
        <f t="shared" ca="1" si="7"/>
        <v>0</v>
      </c>
      <c r="W17" s="184">
        <f t="shared" ca="1" si="8"/>
        <v>0</v>
      </c>
    </row>
    <row r="18" spans="1:23" x14ac:dyDescent="0.2">
      <c r="A18" s="191">
        <v>36069</v>
      </c>
      <c r="B18" s="197" t="str">
        <f>IFERROR(MATCH(C18,_xlfn.XLOOKUP(A18,EvolSalarial!$A$2:$A$349,EvolSalarial!$B$2:$Z$349),0),"-")</f>
        <v>-</v>
      </c>
      <c r="C18" s="185">
        <v>0</v>
      </c>
      <c r="D18" s="195">
        <f>IF(B18="-",C18,IF(B18=0, 0, VLOOKUP(A18,EvolSalarialCorreta!$A$2:$Z$217,B18+1,TRUE)))</f>
        <v>0</v>
      </c>
      <c r="E18" s="176">
        <f t="shared" si="0"/>
        <v>0</v>
      </c>
      <c r="F18" s="179">
        <f t="shared" si="9"/>
        <v>0</v>
      </c>
      <c r="G18" s="162">
        <v>0</v>
      </c>
      <c r="H18" s="195">
        <f t="shared" si="10"/>
        <v>0</v>
      </c>
      <c r="I18" s="176">
        <f t="shared" si="1"/>
        <v>0</v>
      </c>
      <c r="J18" s="179">
        <v>0</v>
      </c>
      <c r="K18" s="178">
        <f t="shared" si="2"/>
        <v>0</v>
      </c>
      <c r="L18" s="179">
        <v>0</v>
      </c>
      <c r="M18" s="177">
        <f t="shared" si="3"/>
        <v>0</v>
      </c>
      <c r="N18" s="179">
        <v>0</v>
      </c>
      <c r="O18" s="177">
        <f t="shared" si="4"/>
        <v>0</v>
      </c>
      <c r="P18" s="179">
        <v>0</v>
      </c>
      <c r="Q18" s="180">
        <f t="shared" si="11"/>
        <v>0</v>
      </c>
      <c r="R18" s="183">
        <f t="shared" si="12"/>
        <v>0</v>
      </c>
      <c r="S18" s="9">
        <f t="shared" ca="1" si="5"/>
        <v>4.2243094000000001</v>
      </c>
      <c r="T18" s="6">
        <f t="shared" ca="1" si="6"/>
        <v>0</v>
      </c>
      <c r="U18" s="3" cm="1">
        <f t="array" ref="U18">IF($O$1="0,5% ao mês", Juros($L$1,A18,$O$1),IF(A18&lt;$L$1,SUMIF(Juros!$A$2:$A$500,"&gt;="&amp;$L$1,Juros!$B$2:$B$500)*100,SUMIF(Juros!$A$2:$A$500,"&gt;="&amp;A18,Juros!$B$2:$B$500)*100))</f>
        <v>152.80979999999997</v>
      </c>
      <c r="V18" s="5">
        <f t="shared" ca="1" si="7"/>
        <v>0</v>
      </c>
      <c r="W18" s="184">
        <f t="shared" ca="1" si="8"/>
        <v>0</v>
      </c>
    </row>
    <row r="19" spans="1:23" x14ac:dyDescent="0.2">
      <c r="A19" s="191">
        <v>36100</v>
      </c>
      <c r="B19" s="197" t="str">
        <f>IFERROR(MATCH(C19,_xlfn.XLOOKUP(A19,EvolSalarial!$A$2:$A$349,EvolSalarial!$B$2:$Z$349),0),"-")</f>
        <v>-</v>
      </c>
      <c r="C19" s="185">
        <v>0</v>
      </c>
      <c r="D19" s="195">
        <f>IF(B19="-",C19,IF(B19=0, 0, VLOOKUP(A19,EvolSalarialCorreta!$A$2:$Z$217,B19+1,TRUE)))</f>
        <v>0</v>
      </c>
      <c r="E19" s="176">
        <f t="shared" si="0"/>
        <v>0</v>
      </c>
      <c r="F19" s="179">
        <f t="shared" si="9"/>
        <v>0</v>
      </c>
      <c r="G19" s="162">
        <v>0</v>
      </c>
      <c r="H19" s="195">
        <f t="shared" si="10"/>
        <v>0</v>
      </c>
      <c r="I19" s="176">
        <f t="shared" si="1"/>
        <v>0</v>
      </c>
      <c r="J19" s="179">
        <v>0</v>
      </c>
      <c r="K19" s="178">
        <f t="shared" si="2"/>
        <v>0</v>
      </c>
      <c r="L19" s="179">
        <v>0</v>
      </c>
      <c r="M19" s="177">
        <f t="shared" si="3"/>
        <v>0</v>
      </c>
      <c r="N19" s="179">
        <v>0</v>
      </c>
      <c r="O19" s="177">
        <f t="shared" si="4"/>
        <v>0</v>
      </c>
      <c r="P19" s="179">
        <v>0</v>
      </c>
      <c r="Q19" s="180">
        <f t="shared" si="11"/>
        <v>0</v>
      </c>
      <c r="R19" s="183">
        <f t="shared" si="12"/>
        <v>0</v>
      </c>
      <c r="S19" s="9">
        <f t="shared" ca="1" si="5"/>
        <v>4.2243094000000001</v>
      </c>
      <c r="T19" s="6">
        <f t="shared" ca="1" si="6"/>
        <v>0</v>
      </c>
      <c r="U19" s="3" cm="1">
        <f t="array" ref="U19">IF($O$1="0,5% ao mês", Juros($L$1,A19,$O$1),IF(A19&lt;$L$1,SUMIF(Juros!$A$2:$A$500,"&gt;="&amp;$L$1,Juros!$B$2:$B$500)*100,SUMIF(Juros!$A$2:$A$500,"&gt;="&amp;A19,Juros!$B$2:$B$500)*100))</f>
        <v>152.80979999999997</v>
      </c>
      <c r="V19" s="5">
        <f t="shared" ca="1" si="7"/>
        <v>0</v>
      </c>
      <c r="W19" s="184">
        <f t="shared" ca="1" si="8"/>
        <v>0</v>
      </c>
    </row>
    <row r="20" spans="1:23" x14ac:dyDescent="0.2">
      <c r="A20" s="191">
        <v>36130</v>
      </c>
      <c r="B20" s="197" t="str">
        <f>IFERROR(MATCH(C20,_xlfn.XLOOKUP(A20,EvolSalarial!$A$2:$A$349,EvolSalarial!$B$2:$Z$349),0),"-")</f>
        <v>-</v>
      </c>
      <c r="C20" s="185">
        <v>0</v>
      </c>
      <c r="D20" s="195">
        <f>IF(B20="-",C20,IF(B20=0, 0, VLOOKUP(A20,EvolSalarialCorreta!$A$2:$Z$217,B20+1,TRUE)))</f>
        <v>0</v>
      </c>
      <c r="E20" s="176">
        <f t="shared" si="0"/>
        <v>0</v>
      </c>
      <c r="F20" s="179">
        <f t="shared" si="9"/>
        <v>0</v>
      </c>
      <c r="G20" s="162">
        <v>0</v>
      </c>
      <c r="H20" s="195">
        <f t="shared" si="10"/>
        <v>0</v>
      </c>
      <c r="I20" s="176">
        <f t="shared" si="1"/>
        <v>0</v>
      </c>
      <c r="J20" s="179">
        <v>0</v>
      </c>
      <c r="K20" s="178">
        <f t="shared" si="2"/>
        <v>0</v>
      </c>
      <c r="L20" s="179">
        <v>0</v>
      </c>
      <c r="M20" s="177">
        <f t="shared" si="3"/>
        <v>0</v>
      </c>
      <c r="N20" s="179">
        <v>0</v>
      </c>
      <c r="O20" s="177">
        <f t="shared" si="4"/>
        <v>0</v>
      </c>
      <c r="P20" s="179">
        <v>0</v>
      </c>
      <c r="Q20" s="180">
        <f t="shared" si="11"/>
        <v>0</v>
      </c>
      <c r="R20" s="183">
        <f t="shared" si="12"/>
        <v>0</v>
      </c>
      <c r="S20" s="9">
        <f t="shared" ca="1" si="5"/>
        <v>4.2243094000000001</v>
      </c>
      <c r="T20" s="6">
        <f t="shared" ca="1" si="6"/>
        <v>0</v>
      </c>
      <c r="U20" s="3" cm="1">
        <f t="array" ref="U20">IF($O$1="0,5% ao mês", Juros($L$1,A20,$O$1),IF(A20&lt;$L$1,SUMIF(Juros!$A$2:$A$500,"&gt;="&amp;$L$1,Juros!$B$2:$B$500)*100,SUMIF(Juros!$A$2:$A$500,"&gt;="&amp;A20,Juros!$B$2:$B$500)*100))</f>
        <v>152.80979999999997</v>
      </c>
      <c r="V20" s="5">
        <f t="shared" ca="1" si="7"/>
        <v>0</v>
      </c>
      <c r="W20" s="184">
        <f t="shared" ca="1" si="8"/>
        <v>0</v>
      </c>
    </row>
    <row r="21" spans="1:23" x14ac:dyDescent="0.2">
      <c r="A21" s="191">
        <v>36161</v>
      </c>
      <c r="B21" s="197" t="str">
        <f>IFERROR(MATCH(C21,_xlfn.XLOOKUP(A21,EvolSalarial!$A$2:$A$349,EvolSalarial!$B$2:$Z$349),0),"-")</f>
        <v>-</v>
      </c>
      <c r="C21" s="185">
        <v>0</v>
      </c>
      <c r="D21" s="195">
        <f>IF(B21="-",C21,IF(B21=0, 0, VLOOKUP(A21,EvolSalarialCorreta!$A$2:$Z$217,B21+1,TRUE)))</f>
        <v>0</v>
      </c>
      <c r="E21" s="176">
        <f t="shared" si="0"/>
        <v>0</v>
      </c>
      <c r="F21" s="179">
        <f t="shared" si="9"/>
        <v>0</v>
      </c>
      <c r="G21" s="162">
        <v>0</v>
      </c>
      <c r="H21" s="195">
        <f t="shared" si="10"/>
        <v>0</v>
      </c>
      <c r="I21" s="176">
        <f t="shared" si="1"/>
        <v>0</v>
      </c>
      <c r="J21" s="179">
        <v>0</v>
      </c>
      <c r="K21" s="178">
        <f t="shared" si="2"/>
        <v>0</v>
      </c>
      <c r="L21" s="179">
        <v>0</v>
      </c>
      <c r="M21" s="177">
        <f t="shared" si="3"/>
        <v>0</v>
      </c>
      <c r="N21" s="179">
        <v>0</v>
      </c>
      <c r="O21" s="177">
        <f t="shared" si="4"/>
        <v>0</v>
      </c>
      <c r="P21" s="179">
        <v>0</v>
      </c>
      <c r="Q21" s="180">
        <f t="shared" si="11"/>
        <v>0</v>
      </c>
      <c r="R21" s="183">
        <f t="shared" si="12"/>
        <v>0</v>
      </c>
      <c r="S21" s="9">
        <f t="shared" ca="1" si="5"/>
        <v>4.1555616000000004</v>
      </c>
      <c r="T21" s="6">
        <f t="shared" ca="1" si="6"/>
        <v>0</v>
      </c>
      <c r="U21" s="3" cm="1">
        <f t="array" ref="U21">IF($O$1="0,5% ao mês", Juros($L$1,A21,$O$1),IF(A21&lt;$L$1,SUMIF(Juros!$A$2:$A$500,"&gt;="&amp;$L$1,Juros!$B$2:$B$500)*100,SUMIF(Juros!$A$2:$A$500,"&gt;="&amp;A21,Juros!$B$2:$B$500)*100))</f>
        <v>152.80979999999997</v>
      </c>
      <c r="V21" s="5">
        <f t="shared" ca="1" si="7"/>
        <v>0</v>
      </c>
      <c r="W21" s="184">
        <f t="shared" ca="1" si="8"/>
        <v>0</v>
      </c>
    </row>
    <row r="22" spans="1:23" x14ac:dyDescent="0.2">
      <c r="A22" s="191">
        <v>36192</v>
      </c>
      <c r="B22" s="197" t="str">
        <f>IFERROR(MATCH(C22,_xlfn.XLOOKUP(A22,EvolSalarial!$A$2:$A$349,EvolSalarial!$B$2:$Z$349),0),"-")</f>
        <v>-</v>
      </c>
      <c r="C22" s="185">
        <v>0</v>
      </c>
      <c r="D22" s="195">
        <f>IF(B22="-",C22,IF(B22=0, 0, VLOOKUP(A22,EvolSalarialCorreta!$A$2:$Z$217,B22+1,TRUE)))</f>
        <v>0</v>
      </c>
      <c r="E22" s="176">
        <f t="shared" si="0"/>
        <v>0</v>
      </c>
      <c r="F22" s="179">
        <f t="shared" si="9"/>
        <v>0</v>
      </c>
      <c r="G22" s="162">
        <v>0</v>
      </c>
      <c r="H22" s="195">
        <f t="shared" si="10"/>
        <v>0</v>
      </c>
      <c r="I22" s="176">
        <f t="shared" si="1"/>
        <v>0</v>
      </c>
      <c r="J22" s="179">
        <v>0</v>
      </c>
      <c r="K22" s="178">
        <f t="shared" si="2"/>
        <v>0</v>
      </c>
      <c r="L22" s="179">
        <v>0</v>
      </c>
      <c r="M22" s="177">
        <f t="shared" si="3"/>
        <v>0</v>
      </c>
      <c r="N22" s="179">
        <v>0</v>
      </c>
      <c r="O22" s="177">
        <f t="shared" si="4"/>
        <v>0</v>
      </c>
      <c r="P22" s="179">
        <v>0</v>
      </c>
      <c r="Q22" s="180">
        <f t="shared" si="11"/>
        <v>0</v>
      </c>
      <c r="R22" s="183">
        <f t="shared" si="12"/>
        <v>0</v>
      </c>
      <c r="S22" s="9">
        <f t="shared" ca="1" si="5"/>
        <v>4.1555616000000004</v>
      </c>
      <c r="T22" s="6">
        <f t="shared" ca="1" si="6"/>
        <v>0</v>
      </c>
      <c r="U22" s="3" cm="1">
        <f t="array" ref="U22">IF($O$1="0,5% ao mês", Juros($L$1,A22,$O$1),IF(A22&lt;$L$1,SUMIF(Juros!$A$2:$A$500,"&gt;="&amp;$L$1,Juros!$B$2:$B$500)*100,SUMIF(Juros!$A$2:$A$500,"&gt;="&amp;A22,Juros!$B$2:$B$500)*100))</f>
        <v>152.80979999999997</v>
      </c>
      <c r="V22" s="5">
        <f t="shared" ca="1" si="7"/>
        <v>0</v>
      </c>
      <c r="W22" s="184">
        <f t="shared" ca="1" si="8"/>
        <v>0</v>
      </c>
    </row>
    <row r="23" spans="1:23" x14ac:dyDescent="0.2">
      <c r="A23" s="191">
        <v>36220</v>
      </c>
      <c r="B23" s="197" t="str">
        <f>IFERROR(MATCH(C23,_xlfn.XLOOKUP(A23,EvolSalarial!$A$2:$A$349,EvolSalarial!$B$2:$Z$349),0),"-")</f>
        <v>-</v>
      </c>
      <c r="C23" s="185">
        <v>0</v>
      </c>
      <c r="D23" s="195">
        <f>IF(B23="-",C23,IF(B23=0, 0, VLOOKUP(A23,EvolSalarialCorreta!$A$2:$Z$217,B23+1,TRUE)))</f>
        <v>0</v>
      </c>
      <c r="E23" s="176">
        <f t="shared" si="0"/>
        <v>0</v>
      </c>
      <c r="F23" s="179">
        <f t="shared" si="9"/>
        <v>0</v>
      </c>
      <c r="G23" s="162">
        <v>0</v>
      </c>
      <c r="H23" s="195">
        <f t="shared" si="10"/>
        <v>0</v>
      </c>
      <c r="I23" s="176">
        <f t="shared" si="1"/>
        <v>0</v>
      </c>
      <c r="J23" s="179">
        <v>0</v>
      </c>
      <c r="K23" s="178">
        <f t="shared" si="2"/>
        <v>0</v>
      </c>
      <c r="L23" s="179">
        <v>0</v>
      </c>
      <c r="M23" s="177">
        <f t="shared" si="3"/>
        <v>0</v>
      </c>
      <c r="N23" s="179">
        <v>0</v>
      </c>
      <c r="O23" s="177">
        <f t="shared" si="4"/>
        <v>0</v>
      </c>
      <c r="P23" s="179">
        <v>0</v>
      </c>
      <c r="Q23" s="180">
        <f t="shared" si="11"/>
        <v>0</v>
      </c>
      <c r="R23" s="183">
        <f t="shared" si="12"/>
        <v>0</v>
      </c>
      <c r="S23" s="9">
        <f t="shared" ca="1" si="5"/>
        <v>4.1555616000000004</v>
      </c>
      <c r="T23" s="6">
        <f t="shared" ca="1" si="6"/>
        <v>0</v>
      </c>
      <c r="U23" s="3" cm="1">
        <f t="array" ref="U23">IF($O$1="0,5% ao mês", Juros($L$1,A23,$O$1),IF(A23&lt;$L$1,SUMIF(Juros!$A$2:$A$500,"&gt;="&amp;$L$1,Juros!$B$2:$B$500)*100,SUMIF(Juros!$A$2:$A$500,"&gt;="&amp;A23,Juros!$B$2:$B$500)*100))</f>
        <v>152.80979999999997</v>
      </c>
      <c r="V23" s="5">
        <f t="shared" ca="1" si="7"/>
        <v>0</v>
      </c>
      <c r="W23" s="184">
        <f t="shared" ca="1" si="8"/>
        <v>0</v>
      </c>
    </row>
    <row r="24" spans="1:23" x14ac:dyDescent="0.2">
      <c r="A24" s="191">
        <v>36251</v>
      </c>
      <c r="B24" s="197" t="str">
        <f>IFERROR(MATCH(C24,_xlfn.XLOOKUP(A24,EvolSalarial!$A$2:$A$349,EvolSalarial!$B$2:$Z$349),0),"-")</f>
        <v>-</v>
      </c>
      <c r="C24" s="185">
        <v>0</v>
      </c>
      <c r="D24" s="195">
        <f>IF(B24="-",C24,IF(B24=0, 0, VLOOKUP(A24,EvolSalarialCorreta!$A$2:$Z$217,B24+1,TRUE)))</f>
        <v>0</v>
      </c>
      <c r="E24" s="176">
        <f t="shared" si="0"/>
        <v>0</v>
      </c>
      <c r="F24" s="179">
        <f t="shared" si="9"/>
        <v>0</v>
      </c>
      <c r="G24" s="162">
        <v>0</v>
      </c>
      <c r="H24" s="195">
        <f t="shared" si="10"/>
        <v>0</v>
      </c>
      <c r="I24" s="176">
        <f t="shared" si="1"/>
        <v>0</v>
      </c>
      <c r="J24" s="179">
        <v>0</v>
      </c>
      <c r="K24" s="178">
        <f t="shared" si="2"/>
        <v>0</v>
      </c>
      <c r="L24" s="179">
        <v>0</v>
      </c>
      <c r="M24" s="177">
        <f t="shared" si="3"/>
        <v>0</v>
      </c>
      <c r="N24" s="179">
        <v>0</v>
      </c>
      <c r="O24" s="177">
        <f t="shared" si="4"/>
        <v>0</v>
      </c>
      <c r="P24" s="179">
        <v>0</v>
      </c>
      <c r="Q24" s="180">
        <f t="shared" si="11"/>
        <v>0</v>
      </c>
      <c r="R24" s="183">
        <f t="shared" si="12"/>
        <v>0</v>
      </c>
      <c r="S24" s="9">
        <f t="shared" ca="1" si="5"/>
        <v>4.1555616000000004</v>
      </c>
      <c r="T24" s="6">
        <f t="shared" ca="1" si="6"/>
        <v>0</v>
      </c>
      <c r="U24" s="3" cm="1">
        <f t="array" ref="U24">IF($O$1="0,5% ao mês", Juros($L$1,A24,$O$1),IF(A24&lt;$L$1,SUMIF(Juros!$A$2:$A$500,"&gt;="&amp;$L$1,Juros!$B$2:$B$500)*100,SUMIF(Juros!$A$2:$A$500,"&gt;="&amp;A24,Juros!$B$2:$B$500)*100))</f>
        <v>152.80979999999997</v>
      </c>
      <c r="V24" s="5">
        <f t="shared" ca="1" si="7"/>
        <v>0</v>
      </c>
      <c r="W24" s="184">
        <f t="shared" ca="1" si="8"/>
        <v>0</v>
      </c>
    </row>
    <row r="25" spans="1:23" x14ac:dyDescent="0.2">
      <c r="A25" s="191">
        <v>36281</v>
      </c>
      <c r="B25" s="197" t="str">
        <f>IFERROR(MATCH(C25,_xlfn.XLOOKUP(A25,EvolSalarial!$A$2:$A$349,EvolSalarial!$B$2:$Z$349),0),"-")</f>
        <v>-</v>
      </c>
      <c r="C25" s="185">
        <v>0</v>
      </c>
      <c r="D25" s="195">
        <f>IF(B25="-",C25,IF(B25=0, 0, VLOOKUP(A25,EvolSalarialCorreta!$A$2:$Z$217,B25+1,TRUE)))</f>
        <v>0</v>
      </c>
      <c r="E25" s="176">
        <f t="shared" si="0"/>
        <v>0</v>
      </c>
      <c r="F25" s="179">
        <f t="shared" si="9"/>
        <v>0</v>
      </c>
      <c r="G25" s="162">
        <v>0</v>
      </c>
      <c r="H25" s="195">
        <f t="shared" si="10"/>
        <v>0</v>
      </c>
      <c r="I25" s="176">
        <f t="shared" si="1"/>
        <v>0</v>
      </c>
      <c r="J25" s="179">
        <v>0</v>
      </c>
      <c r="K25" s="178">
        <f t="shared" si="2"/>
        <v>0</v>
      </c>
      <c r="L25" s="179">
        <v>0</v>
      </c>
      <c r="M25" s="177">
        <f t="shared" si="3"/>
        <v>0</v>
      </c>
      <c r="N25" s="179">
        <v>0</v>
      </c>
      <c r="O25" s="177">
        <f t="shared" si="4"/>
        <v>0</v>
      </c>
      <c r="P25" s="179">
        <v>0</v>
      </c>
      <c r="Q25" s="180">
        <f t="shared" si="11"/>
        <v>0</v>
      </c>
      <c r="R25" s="183">
        <f t="shared" si="12"/>
        <v>0</v>
      </c>
      <c r="S25" s="9">
        <f t="shared" ca="1" si="5"/>
        <v>4.1555616000000004</v>
      </c>
      <c r="T25" s="6">
        <f t="shared" ca="1" si="6"/>
        <v>0</v>
      </c>
      <c r="U25" s="3" cm="1">
        <f t="array" ref="U25">IF($O$1="0,5% ao mês", Juros($L$1,A25,$O$1),IF(A25&lt;$L$1,SUMIF(Juros!$A$2:$A$500,"&gt;="&amp;$L$1,Juros!$B$2:$B$500)*100,SUMIF(Juros!$A$2:$A$500,"&gt;="&amp;A25,Juros!$B$2:$B$500)*100))</f>
        <v>152.80979999999997</v>
      </c>
      <c r="V25" s="5">
        <f t="shared" ca="1" si="7"/>
        <v>0</v>
      </c>
      <c r="W25" s="184">
        <f t="shared" ca="1" si="8"/>
        <v>0</v>
      </c>
    </row>
    <row r="26" spans="1:23" x14ac:dyDescent="0.2">
      <c r="A26" s="191">
        <v>36312</v>
      </c>
      <c r="B26" s="197" t="str">
        <f>IFERROR(MATCH(C26,_xlfn.XLOOKUP(A26,EvolSalarial!$A$2:$A$349,EvolSalarial!$B$2:$Z$349),0),"-")</f>
        <v>-</v>
      </c>
      <c r="C26" s="185">
        <v>0</v>
      </c>
      <c r="D26" s="195">
        <f>IF(B26="-",C26,IF(B26=0, 0, VLOOKUP(A26,EvolSalarialCorreta!$A$2:$Z$217,B26+1,TRUE)))</f>
        <v>0</v>
      </c>
      <c r="E26" s="176">
        <f t="shared" si="0"/>
        <v>0</v>
      </c>
      <c r="F26" s="179">
        <f t="shared" si="9"/>
        <v>0</v>
      </c>
      <c r="G26" s="162">
        <v>0</v>
      </c>
      <c r="H26" s="195">
        <f t="shared" si="10"/>
        <v>0</v>
      </c>
      <c r="I26" s="176">
        <f t="shared" si="1"/>
        <v>0</v>
      </c>
      <c r="J26" s="179">
        <v>0</v>
      </c>
      <c r="K26" s="178">
        <f t="shared" si="2"/>
        <v>0</v>
      </c>
      <c r="L26" s="179">
        <v>0</v>
      </c>
      <c r="M26" s="177">
        <f t="shared" si="3"/>
        <v>0</v>
      </c>
      <c r="N26" s="179">
        <v>0</v>
      </c>
      <c r="O26" s="177">
        <f t="shared" si="4"/>
        <v>0</v>
      </c>
      <c r="P26" s="179">
        <v>0</v>
      </c>
      <c r="Q26" s="180">
        <f t="shared" si="11"/>
        <v>0</v>
      </c>
      <c r="R26" s="183">
        <f t="shared" si="12"/>
        <v>0</v>
      </c>
      <c r="S26" s="9">
        <f t="shared" ca="1" si="5"/>
        <v>4.1555616000000004</v>
      </c>
      <c r="T26" s="6">
        <f t="shared" ca="1" si="6"/>
        <v>0</v>
      </c>
      <c r="U26" s="3" cm="1">
        <f t="array" ref="U26">IF($O$1="0,5% ao mês", Juros($L$1,A26,$O$1),IF(A26&lt;$L$1,SUMIF(Juros!$A$2:$A$500,"&gt;="&amp;$L$1,Juros!$B$2:$B$500)*100,SUMIF(Juros!$A$2:$A$500,"&gt;="&amp;A26,Juros!$B$2:$B$500)*100))</f>
        <v>152.80979999999997</v>
      </c>
      <c r="V26" s="5">
        <f t="shared" ca="1" si="7"/>
        <v>0</v>
      </c>
      <c r="W26" s="184">
        <f t="shared" ca="1" si="8"/>
        <v>0</v>
      </c>
    </row>
    <row r="27" spans="1:23" x14ac:dyDescent="0.2">
      <c r="A27" s="191">
        <v>36342</v>
      </c>
      <c r="B27" s="197" t="str">
        <f>IFERROR(MATCH(C27,_xlfn.XLOOKUP(A27,EvolSalarial!$A$2:$A$349,EvolSalarial!$B$2:$Z$349),0),"-")</f>
        <v>-</v>
      </c>
      <c r="C27" s="185">
        <v>0</v>
      </c>
      <c r="D27" s="195">
        <f>IF(B27="-",C27,IF(B27=0, 0, VLOOKUP(A27,EvolSalarialCorreta!$A$2:$Z$217,B27+1,TRUE)))</f>
        <v>0</v>
      </c>
      <c r="E27" s="176">
        <f t="shared" si="0"/>
        <v>0</v>
      </c>
      <c r="F27" s="179">
        <f t="shared" si="9"/>
        <v>0</v>
      </c>
      <c r="G27" s="162">
        <v>0</v>
      </c>
      <c r="H27" s="195">
        <f t="shared" si="10"/>
        <v>0</v>
      </c>
      <c r="I27" s="176">
        <f t="shared" si="1"/>
        <v>0</v>
      </c>
      <c r="J27" s="179">
        <v>0</v>
      </c>
      <c r="K27" s="178">
        <f t="shared" si="2"/>
        <v>0</v>
      </c>
      <c r="L27" s="179">
        <v>0</v>
      </c>
      <c r="M27" s="177">
        <f t="shared" si="3"/>
        <v>0</v>
      </c>
      <c r="N27" s="179">
        <v>0</v>
      </c>
      <c r="O27" s="177">
        <f t="shared" si="4"/>
        <v>0</v>
      </c>
      <c r="P27" s="179">
        <v>0</v>
      </c>
      <c r="Q27" s="180">
        <f t="shared" si="11"/>
        <v>0</v>
      </c>
      <c r="R27" s="183">
        <f t="shared" si="12"/>
        <v>0</v>
      </c>
      <c r="S27" s="9">
        <f t="shared" ca="1" si="5"/>
        <v>4.1555616000000004</v>
      </c>
      <c r="T27" s="6">
        <f t="shared" ca="1" si="6"/>
        <v>0</v>
      </c>
      <c r="U27" s="3" cm="1">
        <f t="array" ref="U27">IF($O$1="0,5% ao mês", Juros($L$1,A27,$O$1),IF(A27&lt;$L$1,SUMIF(Juros!$A$2:$A$500,"&gt;="&amp;$L$1,Juros!$B$2:$B$500)*100,SUMIF(Juros!$A$2:$A$500,"&gt;="&amp;A27,Juros!$B$2:$B$500)*100))</f>
        <v>152.80979999999997</v>
      </c>
      <c r="V27" s="5">
        <f t="shared" ca="1" si="7"/>
        <v>0</v>
      </c>
      <c r="W27" s="184">
        <f t="shared" ca="1" si="8"/>
        <v>0</v>
      </c>
    </row>
    <row r="28" spans="1:23" x14ac:dyDescent="0.2">
      <c r="A28" s="191">
        <v>36373</v>
      </c>
      <c r="B28" s="197" t="str">
        <f>IFERROR(MATCH(C28,_xlfn.XLOOKUP(A28,EvolSalarial!$A$2:$A$349,EvolSalarial!$B$2:$Z$349),0),"-")</f>
        <v>-</v>
      </c>
      <c r="C28" s="185">
        <v>0</v>
      </c>
      <c r="D28" s="195">
        <f>IF(B28="-",C28,IF(B28=0, 0, VLOOKUP(A28,EvolSalarialCorreta!$A$2:$Z$217,B28+1,TRUE)))</f>
        <v>0</v>
      </c>
      <c r="E28" s="176">
        <f t="shared" si="0"/>
        <v>0</v>
      </c>
      <c r="F28" s="179">
        <f t="shared" si="9"/>
        <v>0</v>
      </c>
      <c r="G28" s="162">
        <v>0</v>
      </c>
      <c r="H28" s="195">
        <f t="shared" si="10"/>
        <v>0</v>
      </c>
      <c r="I28" s="176">
        <f t="shared" si="1"/>
        <v>0</v>
      </c>
      <c r="J28" s="179">
        <v>0</v>
      </c>
      <c r="K28" s="178">
        <f t="shared" si="2"/>
        <v>0</v>
      </c>
      <c r="L28" s="179">
        <v>0</v>
      </c>
      <c r="M28" s="177">
        <f t="shared" si="3"/>
        <v>0</v>
      </c>
      <c r="N28" s="179">
        <v>0</v>
      </c>
      <c r="O28" s="177">
        <f t="shared" si="4"/>
        <v>0</v>
      </c>
      <c r="P28" s="179">
        <v>0</v>
      </c>
      <c r="Q28" s="180">
        <f t="shared" si="11"/>
        <v>0</v>
      </c>
      <c r="R28" s="183">
        <f t="shared" si="12"/>
        <v>0</v>
      </c>
      <c r="S28" s="9">
        <f t="shared" ca="1" si="5"/>
        <v>4.1555616000000004</v>
      </c>
      <c r="T28" s="6">
        <f t="shared" ca="1" si="6"/>
        <v>0</v>
      </c>
      <c r="U28" s="3" cm="1">
        <f t="array" ref="U28">IF($O$1="0,5% ao mês", Juros($L$1,A28,$O$1),IF(A28&lt;$L$1,SUMIF(Juros!$A$2:$A$500,"&gt;="&amp;$L$1,Juros!$B$2:$B$500)*100,SUMIF(Juros!$A$2:$A$500,"&gt;="&amp;A28,Juros!$B$2:$B$500)*100))</f>
        <v>152.80979999999997</v>
      </c>
      <c r="V28" s="5">
        <f t="shared" ca="1" si="7"/>
        <v>0</v>
      </c>
      <c r="W28" s="184">
        <f t="shared" ca="1" si="8"/>
        <v>0</v>
      </c>
    </row>
    <row r="29" spans="1:23" x14ac:dyDescent="0.2">
      <c r="A29" s="191">
        <v>36404</v>
      </c>
      <c r="B29" s="197" t="str">
        <f>IFERROR(MATCH(C29,_xlfn.XLOOKUP(A29,EvolSalarial!$A$2:$A$349,EvolSalarial!$B$2:$Z$349),0),"-")</f>
        <v>-</v>
      </c>
      <c r="C29" s="185">
        <v>0</v>
      </c>
      <c r="D29" s="195">
        <f>IF(B29="-",C29,IF(B29=0, 0, VLOOKUP(A29,EvolSalarialCorreta!$A$2:$Z$217,B29+1,TRUE)))</f>
        <v>0</v>
      </c>
      <c r="E29" s="176">
        <f t="shared" si="0"/>
        <v>0</v>
      </c>
      <c r="F29" s="179">
        <f t="shared" si="9"/>
        <v>0</v>
      </c>
      <c r="G29" s="162">
        <v>0</v>
      </c>
      <c r="H29" s="195">
        <f t="shared" si="10"/>
        <v>0</v>
      </c>
      <c r="I29" s="176">
        <f t="shared" si="1"/>
        <v>0</v>
      </c>
      <c r="J29" s="179">
        <v>0</v>
      </c>
      <c r="K29" s="178">
        <f t="shared" si="2"/>
        <v>0</v>
      </c>
      <c r="L29" s="179">
        <v>0</v>
      </c>
      <c r="M29" s="177">
        <f t="shared" si="3"/>
        <v>0</v>
      </c>
      <c r="N29" s="179">
        <v>0</v>
      </c>
      <c r="O29" s="177">
        <f t="shared" si="4"/>
        <v>0</v>
      </c>
      <c r="P29" s="179">
        <v>0</v>
      </c>
      <c r="Q29" s="180">
        <f t="shared" si="11"/>
        <v>0</v>
      </c>
      <c r="R29" s="183">
        <f t="shared" si="12"/>
        <v>0</v>
      </c>
      <c r="S29" s="9">
        <f t="shared" ca="1" si="5"/>
        <v>4.1555616000000004</v>
      </c>
      <c r="T29" s="6">
        <f t="shared" ca="1" si="6"/>
        <v>0</v>
      </c>
      <c r="U29" s="3" cm="1">
        <f t="array" ref="U29">IF($O$1="0,5% ao mês", Juros($L$1,A29,$O$1),IF(A29&lt;$L$1,SUMIF(Juros!$A$2:$A$500,"&gt;="&amp;$L$1,Juros!$B$2:$B$500)*100,SUMIF(Juros!$A$2:$A$500,"&gt;="&amp;A29,Juros!$B$2:$B$500)*100))</f>
        <v>152.80979999999997</v>
      </c>
      <c r="V29" s="5">
        <f t="shared" ca="1" si="7"/>
        <v>0</v>
      </c>
      <c r="W29" s="184">
        <f t="shared" ca="1" si="8"/>
        <v>0</v>
      </c>
    </row>
    <row r="30" spans="1:23" x14ac:dyDescent="0.2">
      <c r="A30" s="191">
        <v>36434</v>
      </c>
      <c r="B30" s="197" t="str">
        <f>IFERROR(MATCH(C30,_xlfn.XLOOKUP(A30,EvolSalarial!$A$2:$A$349,EvolSalarial!$B$2:$Z$349),0),"-")</f>
        <v>-</v>
      </c>
      <c r="C30" s="185">
        <v>0</v>
      </c>
      <c r="D30" s="195">
        <f>IF(B30="-",C30,IF(B30=0, 0, VLOOKUP(A30,EvolSalarialCorreta!$A$2:$Z$217,B30+1,TRUE)))</f>
        <v>0</v>
      </c>
      <c r="E30" s="176">
        <f t="shared" si="0"/>
        <v>0</v>
      </c>
      <c r="F30" s="179">
        <f t="shared" si="9"/>
        <v>0</v>
      </c>
      <c r="G30" s="162">
        <v>0</v>
      </c>
      <c r="H30" s="195">
        <f t="shared" si="10"/>
        <v>0</v>
      </c>
      <c r="I30" s="176">
        <f t="shared" si="1"/>
        <v>0</v>
      </c>
      <c r="J30" s="179">
        <v>0</v>
      </c>
      <c r="K30" s="178">
        <f t="shared" si="2"/>
        <v>0</v>
      </c>
      <c r="L30" s="179">
        <v>0</v>
      </c>
      <c r="M30" s="177">
        <f t="shared" si="3"/>
        <v>0</v>
      </c>
      <c r="N30" s="179">
        <v>0</v>
      </c>
      <c r="O30" s="177">
        <f t="shared" si="4"/>
        <v>0</v>
      </c>
      <c r="P30" s="179">
        <v>0</v>
      </c>
      <c r="Q30" s="180">
        <f t="shared" si="11"/>
        <v>0</v>
      </c>
      <c r="R30" s="183">
        <f t="shared" si="12"/>
        <v>0</v>
      </c>
      <c r="S30" s="9">
        <f t="shared" ca="1" si="5"/>
        <v>4.1555616000000004</v>
      </c>
      <c r="T30" s="6">
        <f t="shared" ca="1" si="6"/>
        <v>0</v>
      </c>
      <c r="U30" s="3" cm="1">
        <f t="array" ref="U30">IF($O$1="0,5% ao mês", Juros($L$1,A30,$O$1),IF(A30&lt;$L$1,SUMIF(Juros!$A$2:$A$500,"&gt;="&amp;$L$1,Juros!$B$2:$B$500)*100,SUMIF(Juros!$A$2:$A$500,"&gt;="&amp;A30,Juros!$B$2:$B$500)*100))</f>
        <v>152.80979999999997</v>
      </c>
      <c r="V30" s="5">
        <f t="shared" ca="1" si="7"/>
        <v>0</v>
      </c>
      <c r="W30" s="184">
        <f t="shared" ca="1" si="8"/>
        <v>0</v>
      </c>
    </row>
    <row r="31" spans="1:23" x14ac:dyDescent="0.2">
      <c r="A31" s="191">
        <v>36465</v>
      </c>
      <c r="B31" s="197" t="str">
        <f>IFERROR(MATCH(C31,_xlfn.XLOOKUP(A31,EvolSalarial!$A$2:$A$349,EvolSalarial!$B$2:$Z$349),0),"-")</f>
        <v>-</v>
      </c>
      <c r="C31" s="185">
        <v>0</v>
      </c>
      <c r="D31" s="195">
        <f>IF(B31="-",C31,IF(B31=0, 0, VLOOKUP(A31,EvolSalarialCorreta!$A$2:$Z$217,B31+1,TRUE)))</f>
        <v>0</v>
      </c>
      <c r="E31" s="176">
        <f t="shared" si="0"/>
        <v>0</v>
      </c>
      <c r="F31" s="179">
        <f t="shared" si="9"/>
        <v>0</v>
      </c>
      <c r="G31" s="162">
        <v>0</v>
      </c>
      <c r="H31" s="195">
        <f t="shared" si="10"/>
        <v>0</v>
      </c>
      <c r="I31" s="176">
        <f t="shared" si="1"/>
        <v>0</v>
      </c>
      <c r="J31" s="179">
        <v>0</v>
      </c>
      <c r="K31" s="178">
        <f t="shared" si="2"/>
        <v>0</v>
      </c>
      <c r="L31" s="179">
        <v>0</v>
      </c>
      <c r="M31" s="177">
        <f t="shared" si="3"/>
        <v>0</v>
      </c>
      <c r="N31" s="179">
        <v>0</v>
      </c>
      <c r="O31" s="177">
        <f t="shared" si="4"/>
        <v>0</v>
      </c>
      <c r="P31" s="179">
        <v>0</v>
      </c>
      <c r="Q31" s="180">
        <f t="shared" si="11"/>
        <v>0</v>
      </c>
      <c r="R31" s="183">
        <f t="shared" si="12"/>
        <v>0</v>
      </c>
      <c r="S31" s="9">
        <f t="shared" ca="1" si="5"/>
        <v>4.1555616000000004</v>
      </c>
      <c r="T31" s="6">
        <f t="shared" ca="1" si="6"/>
        <v>0</v>
      </c>
      <c r="U31" s="3" cm="1">
        <f t="array" ref="U31">IF($O$1="0,5% ao mês", Juros($L$1,A31,$O$1),IF(A31&lt;$L$1,SUMIF(Juros!$A$2:$A$500,"&gt;="&amp;$L$1,Juros!$B$2:$B$500)*100,SUMIF(Juros!$A$2:$A$500,"&gt;="&amp;A31,Juros!$B$2:$B$500)*100))</f>
        <v>152.80979999999997</v>
      </c>
      <c r="V31" s="5">
        <f t="shared" ca="1" si="7"/>
        <v>0</v>
      </c>
      <c r="W31" s="184">
        <f t="shared" ca="1" si="8"/>
        <v>0</v>
      </c>
    </row>
    <row r="32" spans="1:23" x14ac:dyDescent="0.2">
      <c r="A32" s="191">
        <v>36495</v>
      </c>
      <c r="B32" s="197" t="str">
        <f>IFERROR(MATCH(C32,_xlfn.XLOOKUP(A32,EvolSalarial!$A$2:$A$349,EvolSalarial!$B$2:$Z$349),0),"-")</f>
        <v>-</v>
      </c>
      <c r="C32" s="185">
        <v>0</v>
      </c>
      <c r="D32" s="195">
        <f>IF(B32="-",C32,IF(B32=0, 0, VLOOKUP(A32,EvolSalarialCorreta!$A$2:$Z$217,B32+1,TRUE)))</f>
        <v>0</v>
      </c>
      <c r="E32" s="176">
        <f t="shared" si="0"/>
        <v>0</v>
      </c>
      <c r="F32" s="179">
        <f t="shared" si="9"/>
        <v>0</v>
      </c>
      <c r="G32" s="162">
        <v>0</v>
      </c>
      <c r="H32" s="195">
        <f t="shared" si="10"/>
        <v>0</v>
      </c>
      <c r="I32" s="176">
        <f t="shared" si="1"/>
        <v>0</v>
      </c>
      <c r="J32" s="179">
        <v>0</v>
      </c>
      <c r="K32" s="178">
        <f t="shared" si="2"/>
        <v>0</v>
      </c>
      <c r="L32" s="179">
        <v>0</v>
      </c>
      <c r="M32" s="177">
        <f t="shared" si="3"/>
        <v>0</v>
      </c>
      <c r="N32" s="179">
        <v>0</v>
      </c>
      <c r="O32" s="177">
        <f t="shared" si="4"/>
        <v>0</v>
      </c>
      <c r="P32" s="179">
        <v>0</v>
      </c>
      <c r="Q32" s="180">
        <f t="shared" si="11"/>
        <v>0</v>
      </c>
      <c r="R32" s="183">
        <f t="shared" si="12"/>
        <v>0</v>
      </c>
      <c r="S32" s="9">
        <f t="shared" ca="1" si="5"/>
        <v>4.1555616000000004</v>
      </c>
      <c r="T32" s="6">
        <f t="shared" ca="1" si="6"/>
        <v>0</v>
      </c>
      <c r="U32" s="3" cm="1">
        <f t="array" ref="U32">IF($O$1="0,5% ao mês", Juros($L$1,A32,$O$1),IF(A32&lt;$L$1,SUMIF(Juros!$A$2:$A$500,"&gt;="&amp;$L$1,Juros!$B$2:$B$500)*100,SUMIF(Juros!$A$2:$A$500,"&gt;="&amp;A32,Juros!$B$2:$B$500)*100))</f>
        <v>152.80979999999997</v>
      </c>
      <c r="V32" s="5">
        <f t="shared" ca="1" si="7"/>
        <v>0</v>
      </c>
      <c r="W32" s="184">
        <f t="shared" ca="1" si="8"/>
        <v>0</v>
      </c>
    </row>
    <row r="33" spans="1:23" x14ac:dyDescent="0.2">
      <c r="A33" s="191">
        <v>36526</v>
      </c>
      <c r="B33" s="197" t="str">
        <f>IFERROR(MATCH(C33,_xlfn.XLOOKUP(A33,EvolSalarial!$A$2:$A$349,EvolSalarial!$B$2:$Z$349),0),"-")</f>
        <v>-</v>
      </c>
      <c r="C33" s="185">
        <v>0</v>
      </c>
      <c r="D33" s="195">
        <f>IF(B33="-",C33,IF(B33=0, 0, VLOOKUP(A33,EvolSalarialCorreta!$A$2:$Z$217,B33+1,TRUE)))</f>
        <v>0</v>
      </c>
      <c r="E33" s="176">
        <f t="shared" si="0"/>
        <v>0</v>
      </c>
      <c r="F33" s="179">
        <f t="shared" si="9"/>
        <v>0</v>
      </c>
      <c r="G33" s="162">
        <v>0</v>
      </c>
      <c r="H33" s="195">
        <f t="shared" si="10"/>
        <v>0</v>
      </c>
      <c r="I33" s="176">
        <f t="shared" si="1"/>
        <v>0</v>
      </c>
      <c r="J33" s="179">
        <v>0</v>
      </c>
      <c r="K33" s="178">
        <f t="shared" si="2"/>
        <v>0</v>
      </c>
      <c r="L33" s="179">
        <v>0</v>
      </c>
      <c r="M33" s="177">
        <f t="shared" si="3"/>
        <v>0</v>
      </c>
      <c r="N33" s="179">
        <v>0</v>
      </c>
      <c r="O33" s="177">
        <f t="shared" si="4"/>
        <v>0</v>
      </c>
      <c r="P33" s="179">
        <v>0</v>
      </c>
      <c r="Q33" s="180">
        <f t="shared" si="11"/>
        <v>0</v>
      </c>
      <c r="R33" s="183">
        <f t="shared" si="12"/>
        <v>0</v>
      </c>
      <c r="S33" s="9">
        <f t="shared" ca="1" si="5"/>
        <v>3.8154156000000001</v>
      </c>
      <c r="T33" s="5">
        <f t="shared" ca="1" si="6"/>
        <v>0</v>
      </c>
      <c r="U33" s="3" cm="1">
        <f t="array" ref="U33">IF($O$1="0,5% ao mês", Juros($L$1,A33,$O$1),IF(A33&lt;$L$1,SUMIF(Juros!$A$2:$A$500,"&gt;="&amp;$L$1,Juros!$B$2:$B$500)*100,SUMIF(Juros!$A$2:$A$500,"&gt;="&amp;A33,Juros!$B$2:$B$500)*100))</f>
        <v>152.80979999999997</v>
      </c>
      <c r="V33" s="5">
        <f t="shared" ca="1" si="7"/>
        <v>0</v>
      </c>
      <c r="W33" s="184">
        <f t="shared" ca="1" si="8"/>
        <v>0</v>
      </c>
    </row>
    <row r="34" spans="1:23" x14ac:dyDescent="0.2">
      <c r="A34" s="191">
        <v>36557</v>
      </c>
      <c r="B34" s="197" t="str">
        <f>IFERROR(MATCH(C34,_xlfn.XLOOKUP(A34,EvolSalarial!$A$2:$A$349,EvolSalarial!$B$2:$Z$349),0),"-")</f>
        <v>-</v>
      </c>
      <c r="C34" s="185">
        <v>0</v>
      </c>
      <c r="D34" s="195">
        <f>IF(B34="-",C34,IF(B34=0, 0, VLOOKUP(A34,EvolSalarialCorreta!$A$2:$Z$217,B34+1,TRUE)))</f>
        <v>0</v>
      </c>
      <c r="E34" s="176">
        <f t="shared" si="0"/>
        <v>0</v>
      </c>
      <c r="F34" s="179">
        <f t="shared" si="9"/>
        <v>0</v>
      </c>
      <c r="G34" s="162">
        <v>0</v>
      </c>
      <c r="H34" s="195">
        <f t="shared" si="10"/>
        <v>0</v>
      </c>
      <c r="I34" s="176">
        <f t="shared" si="1"/>
        <v>0</v>
      </c>
      <c r="J34" s="179">
        <v>0</v>
      </c>
      <c r="K34" s="178">
        <f t="shared" si="2"/>
        <v>0</v>
      </c>
      <c r="L34" s="179">
        <v>0</v>
      </c>
      <c r="M34" s="177">
        <f t="shared" si="3"/>
        <v>0</v>
      </c>
      <c r="N34" s="179">
        <v>0</v>
      </c>
      <c r="O34" s="177">
        <f t="shared" si="4"/>
        <v>0</v>
      </c>
      <c r="P34" s="179">
        <v>0</v>
      </c>
      <c r="Q34" s="180">
        <f t="shared" si="11"/>
        <v>0</v>
      </c>
      <c r="R34" s="183">
        <f t="shared" si="12"/>
        <v>0</v>
      </c>
      <c r="S34" s="9">
        <f t="shared" ca="1" si="5"/>
        <v>3.8154156000000001</v>
      </c>
      <c r="T34" s="6">
        <f t="shared" ca="1" si="6"/>
        <v>0</v>
      </c>
      <c r="U34" s="3" cm="1">
        <f t="array" ref="U34">IF($O$1="0,5% ao mês", Juros($L$1,A34,$O$1),IF(A34&lt;$L$1,SUMIF(Juros!$A$2:$A$500,"&gt;="&amp;$L$1,Juros!$B$2:$B$500)*100,SUMIF(Juros!$A$2:$A$500,"&gt;="&amp;A34,Juros!$B$2:$B$500)*100))</f>
        <v>152.80979999999997</v>
      </c>
      <c r="V34" s="5">
        <f t="shared" ca="1" si="7"/>
        <v>0</v>
      </c>
      <c r="W34" s="184">
        <f t="shared" ca="1" si="8"/>
        <v>0</v>
      </c>
    </row>
    <row r="35" spans="1:23" x14ac:dyDescent="0.2">
      <c r="A35" s="191">
        <v>36586</v>
      </c>
      <c r="B35" s="197" t="str">
        <f>IFERROR(MATCH(C35,_xlfn.XLOOKUP(A35,EvolSalarial!$A$2:$A$349,EvolSalarial!$B$2:$Z$349),0),"-")</f>
        <v>-</v>
      </c>
      <c r="C35" s="185">
        <v>0</v>
      </c>
      <c r="D35" s="195">
        <f>IF(B35="-",C35,IF(B35=0, 0, VLOOKUP(A35,EvolSalarialCorreta!$A$2:$Z$217,B35+1,TRUE)))</f>
        <v>0</v>
      </c>
      <c r="E35" s="176">
        <f t="shared" si="0"/>
        <v>0</v>
      </c>
      <c r="F35" s="179">
        <f t="shared" si="9"/>
        <v>0</v>
      </c>
      <c r="G35" s="162">
        <v>0</v>
      </c>
      <c r="H35" s="195">
        <f t="shared" si="10"/>
        <v>0</v>
      </c>
      <c r="I35" s="176">
        <f t="shared" si="1"/>
        <v>0</v>
      </c>
      <c r="J35" s="179">
        <v>0</v>
      </c>
      <c r="K35" s="178">
        <f t="shared" si="2"/>
        <v>0</v>
      </c>
      <c r="L35" s="179">
        <v>0</v>
      </c>
      <c r="M35" s="177">
        <f t="shared" si="3"/>
        <v>0</v>
      </c>
      <c r="N35" s="179">
        <v>0</v>
      </c>
      <c r="O35" s="177">
        <f t="shared" si="4"/>
        <v>0</v>
      </c>
      <c r="P35" s="179">
        <v>0</v>
      </c>
      <c r="Q35" s="180">
        <f t="shared" si="11"/>
        <v>0</v>
      </c>
      <c r="R35" s="183">
        <f t="shared" si="12"/>
        <v>0</v>
      </c>
      <c r="S35" s="9">
        <f t="shared" ca="1" si="5"/>
        <v>3.8154156000000001</v>
      </c>
      <c r="T35" s="6">
        <f t="shared" ca="1" si="6"/>
        <v>0</v>
      </c>
      <c r="U35" s="3" cm="1">
        <f t="array" ref="U35">IF($O$1="0,5% ao mês", Juros($L$1,A35,$O$1),IF(A35&lt;$L$1,SUMIF(Juros!$A$2:$A$500,"&gt;="&amp;$L$1,Juros!$B$2:$B$500)*100,SUMIF(Juros!$A$2:$A$500,"&gt;="&amp;A35,Juros!$B$2:$B$500)*100))</f>
        <v>152.80979999999997</v>
      </c>
      <c r="V35" s="5">
        <f t="shared" ca="1" si="7"/>
        <v>0</v>
      </c>
      <c r="W35" s="184">
        <f t="shared" ca="1" si="8"/>
        <v>0</v>
      </c>
    </row>
    <row r="36" spans="1:23" x14ac:dyDescent="0.2">
      <c r="A36" s="191">
        <v>36617</v>
      </c>
      <c r="B36" s="197" t="str">
        <f>IFERROR(MATCH(C36,_xlfn.XLOOKUP(A36,EvolSalarial!$A$2:$A$349,EvolSalarial!$B$2:$Z$349),0),"-")</f>
        <v>-</v>
      </c>
      <c r="C36" s="185">
        <v>0</v>
      </c>
      <c r="D36" s="195">
        <f>IF(B36="-",C36,IF(B36=0, 0, VLOOKUP(A36,EvolSalarialCorreta!$A$2:$Z$217,B36+1,TRUE)))</f>
        <v>0</v>
      </c>
      <c r="E36" s="176">
        <f t="shared" si="0"/>
        <v>0</v>
      </c>
      <c r="F36" s="179">
        <f t="shared" si="9"/>
        <v>0</v>
      </c>
      <c r="G36" s="162">
        <v>0</v>
      </c>
      <c r="H36" s="195">
        <f t="shared" si="10"/>
        <v>0</v>
      </c>
      <c r="I36" s="176">
        <f t="shared" si="1"/>
        <v>0</v>
      </c>
      <c r="J36" s="179">
        <v>0</v>
      </c>
      <c r="K36" s="178">
        <f t="shared" si="2"/>
        <v>0</v>
      </c>
      <c r="L36" s="179">
        <v>0</v>
      </c>
      <c r="M36" s="177">
        <f t="shared" si="3"/>
        <v>0</v>
      </c>
      <c r="N36" s="179">
        <v>0</v>
      </c>
      <c r="O36" s="177">
        <f t="shared" si="4"/>
        <v>0</v>
      </c>
      <c r="P36" s="179">
        <v>0</v>
      </c>
      <c r="Q36" s="180">
        <f t="shared" si="11"/>
        <v>0</v>
      </c>
      <c r="R36" s="183">
        <f t="shared" si="12"/>
        <v>0</v>
      </c>
      <c r="S36" s="9">
        <f t="shared" ca="1" si="5"/>
        <v>3.8154156000000001</v>
      </c>
      <c r="T36" s="6">
        <f t="shared" ca="1" si="6"/>
        <v>0</v>
      </c>
      <c r="U36" s="3" cm="1">
        <f t="array" ref="U36">IF($O$1="0,5% ao mês", Juros($L$1,A36,$O$1),IF(A36&lt;$L$1,SUMIF(Juros!$A$2:$A$500,"&gt;="&amp;$L$1,Juros!$B$2:$B$500)*100,SUMIF(Juros!$A$2:$A$500,"&gt;="&amp;A36,Juros!$B$2:$B$500)*100))</f>
        <v>152.80979999999997</v>
      </c>
      <c r="V36" s="5">
        <f t="shared" ca="1" si="7"/>
        <v>0</v>
      </c>
      <c r="W36" s="184">
        <f t="shared" ca="1" si="8"/>
        <v>0</v>
      </c>
    </row>
    <row r="37" spans="1:23" x14ac:dyDescent="0.2">
      <c r="A37" s="191">
        <v>36647</v>
      </c>
      <c r="B37" s="197" t="str">
        <f>IFERROR(MATCH(C37,_xlfn.XLOOKUP(A37,EvolSalarial!$A$2:$A$349,EvolSalarial!$B$2:$Z$349),0),"-")</f>
        <v>-</v>
      </c>
      <c r="C37" s="185">
        <v>0</v>
      </c>
      <c r="D37" s="195">
        <f>IF(B37="-",C37,IF(B37=0, 0, VLOOKUP(A37,EvolSalarialCorreta!$A$2:$Z$217,B37+1,TRUE)))</f>
        <v>0</v>
      </c>
      <c r="E37" s="176">
        <f t="shared" si="0"/>
        <v>0</v>
      </c>
      <c r="F37" s="179">
        <f t="shared" si="9"/>
        <v>0</v>
      </c>
      <c r="G37" s="162">
        <v>0</v>
      </c>
      <c r="H37" s="195">
        <f t="shared" si="10"/>
        <v>0</v>
      </c>
      <c r="I37" s="176">
        <f t="shared" si="1"/>
        <v>0</v>
      </c>
      <c r="J37" s="179">
        <v>0</v>
      </c>
      <c r="K37" s="178">
        <f t="shared" si="2"/>
        <v>0</v>
      </c>
      <c r="L37" s="179">
        <v>0</v>
      </c>
      <c r="M37" s="177">
        <f t="shared" si="3"/>
        <v>0</v>
      </c>
      <c r="N37" s="179">
        <v>0</v>
      </c>
      <c r="O37" s="177">
        <f t="shared" si="4"/>
        <v>0</v>
      </c>
      <c r="P37" s="179">
        <v>0</v>
      </c>
      <c r="Q37" s="180">
        <f t="shared" si="11"/>
        <v>0</v>
      </c>
      <c r="R37" s="183">
        <f t="shared" si="12"/>
        <v>0</v>
      </c>
      <c r="S37" s="9">
        <f t="shared" ca="1" si="5"/>
        <v>3.8154156000000001</v>
      </c>
      <c r="T37" s="6">
        <f t="shared" ca="1" si="6"/>
        <v>0</v>
      </c>
      <c r="U37" s="3" cm="1">
        <f t="array" ref="U37">IF($O$1="0,5% ao mês", Juros($L$1,A37,$O$1),IF(A37&lt;$L$1,SUMIF(Juros!$A$2:$A$500,"&gt;="&amp;$L$1,Juros!$B$2:$B$500)*100,SUMIF(Juros!$A$2:$A$500,"&gt;="&amp;A37,Juros!$B$2:$B$500)*100))</f>
        <v>152.80979999999997</v>
      </c>
      <c r="V37" s="5">
        <f t="shared" ca="1" si="7"/>
        <v>0</v>
      </c>
      <c r="W37" s="184">
        <f t="shared" ca="1" si="8"/>
        <v>0</v>
      </c>
    </row>
    <row r="38" spans="1:23" x14ac:dyDescent="0.2">
      <c r="A38" s="191">
        <v>36678</v>
      </c>
      <c r="B38" s="197" t="str">
        <f>IFERROR(MATCH(C38,_xlfn.XLOOKUP(A38,EvolSalarial!$A$2:$A$349,EvolSalarial!$B$2:$Z$349),0),"-")</f>
        <v>-</v>
      </c>
      <c r="C38" s="185">
        <v>0</v>
      </c>
      <c r="D38" s="195">
        <f>IF(B38="-",C38,IF(B38=0, 0, VLOOKUP(A38,EvolSalarialCorreta!$A$2:$Z$217,B38+1,TRUE)))</f>
        <v>0</v>
      </c>
      <c r="E38" s="176">
        <f t="shared" si="0"/>
        <v>0</v>
      </c>
      <c r="F38" s="179">
        <f t="shared" si="9"/>
        <v>0</v>
      </c>
      <c r="G38" s="162">
        <v>0</v>
      </c>
      <c r="H38" s="195">
        <f t="shared" si="10"/>
        <v>0</v>
      </c>
      <c r="I38" s="176">
        <f t="shared" si="1"/>
        <v>0</v>
      </c>
      <c r="J38" s="179">
        <v>0</v>
      </c>
      <c r="K38" s="178">
        <f t="shared" si="2"/>
        <v>0</v>
      </c>
      <c r="L38" s="179">
        <v>0</v>
      </c>
      <c r="M38" s="177">
        <f t="shared" si="3"/>
        <v>0</v>
      </c>
      <c r="N38" s="179">
        <v>0</v>
      </c>
      <c r="O38" s="177">
        <f t="shared" si="4"/>
        <v>0</v>
      </c>
      <c r="P38" s="179">
        <v>0</v>
      </c>
      <c r="Q38" s="180">
        <f t="shared" si="11"/>
        <v>0</v>
      </c>
      <c r="R38" s="183">
        <f t="shared" si="12"/>
        <v>0</v>
      </c>
      <c r="S38" s="9">
        <f t="shared" ca="1" si="5"/>
        <v>3.8154156000000001</v>
      </c>
      <c r="T38" s="6">
        <f t="shared" ca="1" si="6"/>
        <v>0</v>
      </c>
      <c r="U38" s="3" cm="1">
        <f t="array" ref="U38">IF($O$1="0,5% ao mês", Juros($L$1,A38,$O$1),IF(A38&lt;$L$1,SUMIF(Juros!$A$2:$A$500,"&gt;="&amp;$L$1,Juros!$B$2:$B$500)*100,SUMIF(Juros!$A$2:$A$500,"&gt;="&amp;A38,Juros!$B$2:$B$500)*100))</f>
        <v>152.80979999999997</v>
      </c>
      <c r="V38" s="5">
        <f t="shared" ca="1" si="7"/>
        <v>0</v>
      </c>
      <c r="W38" s="184">
        <f t="shared" ca="1" si="8"/>
        <v>0</v>
      </c>
    </row>
    <row r="39" spans="1:23" x14ac:dyDescent="0.2">
      <c r="A39" s="191">
        <v>36708</v>
      </c>
      <c r="B39" s="197" t="str">
        <f>IFERROR(MATCH(C39,_xlfn.XLOOKUP(A39,EvolSalarial!$A$2:$A$349,EvolSalarial!$B$2:$Z$349),0),"-")</f>
        <v>-</v>
      </c>
      <c r="C39" s="185">
        <v>0</v>
      </c>
      <c r="D39" s="195">
        <f>IF(B39="-",C39,IF(B39=0, 0, VLOOKUP(A39,EvolSalarialCorreta!$A$2:$Z$217,B39+1,TRUE)))</f>
        <v>0</v>
      </c>
      <c r="E39" s="176">
        <f t="shared" si="0"/>
        <v>0</v>
      </c>
      <c r="F39" s="179">
        <f t="shared" si="9"/>
        <v>0</v>
      </c>
      <c r="G39" s="162">
        <v>0</v>
      </c>
      <c r="H39" s="195">
        <f t="shared" si="10"/>
        <v>0</v>
      </c>
      <c r="I39" s="176">
        <f t="shared" si="1"/>
        <v>0</v>
      </c>
      <c r="J39" s="179">
        <v>0</v>
      </c>
      <c r="K39" s="178">
        <f t="shared" si="2"/>
        <v>0</v>
      </c>
      <c r="L39" s="179">
        <v>0</v>
      </c>
      <c r="M39" s="177">
        <f t="shared" si="3"/>
        <v>0</v>
      </c>
      <c r="N39" s="179">
        <v>0</v>
      </c>
      <c r="O39" s="177">
        <f t="shared" si="4"/>
        <v>0</v>
      </c>
      <c r="P39" s="179">
        <v>0</v>
      </c>
      <c r="Q39" s="180">
        <f t="shared" si="11"/>
        <v>0</v>
      </c>
      <c r="R39" s="183">
        <f t="shared" si="12"/>
        <v>0</v>
      </c>
      <c r="S39" s="9">
        <f t="shared" ca="1" si="5"/>
        <v>3.8154156000000001</v>
      </c>
      <c r="T39" s="6">
        <f t="shared" ca="1" si="6"/>
        <v>0</v>
      </c>
      <c r="U39" s="3" cm="1">
        <f t="array" ref="U39">IF($O$1="0,5% ao mês", Juros($L$1,A39,$O$1),IF(A39&lt;$L$1,SUMIF(Juros!$A$2:$A$500,"&gt;="&amp;$L$1,Juros!$B$2:$B$500)*100,SUMIF(Juros!$A$2:$A$500,"&gt;="&amp;A39,Juros!$B$2:$B$500)*100))</f>
        <v>152.80979999999997</v>
      </c>
      <c r="V39" s="5">
        <f t="shared" ca="1" si="7"/>
        <v>0</v>
      </c>
      <c r="W39" s="184">
        <f t="shared" ca="1" si="8"/>
        <v>0</v>
      </c>
    </row>
    <row r="40" spans="1:23" x14ac:dyDescent="0.2">
      <c r="A40" s="191">
        <v>36739</v>
      </c>
      <c r="B40" s="197" t="str">
        <f>IFERROR(MATCH(C40,_xlfn.XLOOKUP(A40,EvolSalarial!$A$2:$A$349,EvolSalarial!$B$2:$Z$349),0),"-")</f>
        <v>-</v>
      </c>
      <c r="C40" s="185">
        <v>0</v>
      </c>
      <c r="D40" s="195">
        <f>IF(B40="-",C40,IF(B40=0, 0, VLOOKUP(A40,EvolSalarialCorreta!$A$2:$Z$217,B40+1,TRUE)))</f>
        <v>0</v>
      </c>
      <c r="E40" s="176">
        <f t="shared" si="0"/>
        <v>0</v>
      </c>
      <c r="F40" s="179">
        <f t="shared" si="9"/>
        <v>0</v>
      </c>
      <c r="G40" s="162">
        <v>0</v>
      </c>
      <c r="H40" s="195">
        <f t="shared" si="10"/>
        <v>0</v>
      </c>
      <c r="I40" s="176">
        <f t="shared" si="1"/>
        <v>0</v>
      </c>
      <c r="J40" s="179">
        <v>0</v>
      </c>
      <c r="K40" s="178">
        <f t="shared" si="2"/>
        <v>0</v>
      </c>
      <c r="L40" s="179">
        <v>0</v>
      </c>
      <c r="M40" s="177">
        <f t="shared" si="3"/>
        <v>0</v>
      </c>
      <c r="N40" s="179">
        <v>0</v>
      </c>
      <c r="O40" s="177">
        <f t="shared" si="4"/>
        <v>0</v>
      </c>
      <c r="P40" s="179">
        <v>0</v>
      </c>
      <c r="Q40" s="180">
        <f t="shared" si="11"/>
        <v>0</v>
      </c>
      <c r="R40" s="183">
        <f t="shared" si="12"/>
        <v>0</v>
      </c>
      <c r="S40" s="9">
        <f t="shared" ca="1" si="5"/>
        <v>3.8154156000000001</v>
      </c>
      <c r="T40" s="6">
        <f t="shared" ca="1" si="6"/>
        <v>0</v>
      </c>
      <c r="U40" s="3" cm="1">
        <f t="array" ref="U40">IF($O$1="0,5% ao mês", Juros($L$1,A40,$O$1),IF(A40&lt;$L$1,SUMIF(Juros!$A$2:$A$500,"&gt;="&amp;$L$1,Juros!$B$2:$B$500)*100,SUMIF(Juros!$A$2:$A$500,"&gt;="&amp;A40,Juros!$B$2:$B$500)*100))</f>
        <v>152.80979999999997</v>
      </c>
      <c r="V40" s="5">
        <f t="shared" ca="1" si="7"/>
        <v>0</v>
      </c>
      <c r="W40" s="184">
        <f t="shared" ca="1" si="8"/>
        <v>0</v>
      </c>
    </row>
    <row r="41" spans="1:23" x14ac:dyDescent="0.2">
      <c r="A41" s="191">
        <v>36770</v>
      </c>
      <c r="B41" s="197" t="str">
        <f>IFERROR(MATCH(C41,_xlfn.XLOOKUP(A41,EvolSalarial!$A$2:$A$349,EvolSalarial!$B$2:$Z$349),0),"-")</f>
        <v>-</v>
      </c>
      <c r="C41" s="185">
        <v>0</v>
      </c>
      <c r="D41" s="195">
        <f>IF(B41="-",C41,IF(B41=0, 0, VLOOKUP(A41,EvolSalarialCorreta!$A$2:$Z$217,B41+1,TRUE)))</f>
        <v>0</v>
      </c>
      <c r="E41" s="176">
        <f t="shared" si="0"/>
        <v>0</v>
      </c>
      <c r="F41" s="179">
        <f t="shared" si="9"/>
        <v>0</v>
      </c>
      <c r="G41" s="162">
        <v>0</v>
      </c>
      <c r="H41" s="195">
        <f t="shared" si="10"/>
        <v>0</v>
      </c>
      <c r="I41" s="176">
        <f t="shared" si="1"/>
        <v>0</v>
      </c>
      <c r="J41" s="179">
        <v>0</v>
      </c>
      <c r="K41" s="178">
        <f t="shared" si="2"/>
        <v>0</v>
      </c>
      <c r="L41" s="179">
        <v>0</v>
      </c>
      <c r="M41" s="177">
        <f t="shared" si="3"/>
        <v>0</v>
      </c>
      <c r="N41" s="179">
        <v>0</v>
      </c>
      <c r="O41" s="177">
        <f t="shared" si="4"/>
        <v>0</v>
      </c>
      <c r="P41" s="179">
        <v>0</v>
      </c>
      <c r="Q41" s="180">
        <f t="shared" si="11"/>
        <v>0</v>
      </c>
      <c r="R41" s="183">
        <f t="shared" si="12"/>
        <v>0</v>
      </c>
      <c r="S41" s="9">
        <f t="shared" ref="S41:S72" ca="1" si="13">AtualMon(A41,$L$2)</f>
        <v>3.8154156000000001</v>
      </c>
      <c r="T41" s="6">
        <f t="shared" ca="1" si="6"/>
        <v>0</v>
      </c>
      <c r="U41" s="3" cm="1">
        <f t="array" ref="U41">IF($O$1="0,5% ao mês", Juros($L$1,A41,$O$1),IF(A41&lt;$L$1,SUMIF(Juros!$A$2:$A$500,"&gt;="&amp;$L$1,Juros!$B$2:$B$500)*100,SUMIF(Juros!$A$2:$A$500,"&gt;="&amp;A41,Juros!$B$2:$B$500)*100))</f>
        <v>152.80979999999997</v>
      </c>
      <c r="V41" s="5">
        <f t="shared" ca="1" si="7"/>
        <v>0</v>
      </c>
      <c r="W41" s="184">
        <f t="shared" ca="1" si="8"/>
        <v>0</v>
      </c>
    </row>
    <row r="42" spans="1:23" x14ac:dyDescent="0.2">
      <c r="A42" s="191">
        <v>36800</v>
      </c>
      <c r="B42" s="197" t="str">
        <f>IFERROR(MATCH(C42,_xlfn.XLOOKUP(A42,EvolSalarial!$A$2:$A$349,EvolSalarial!$B$2:$Z$349),0),"-")</f>
        <v>-</v>
      </c>
      <c r="C42" s="185">
        <v>0</v>
      </c>
      <c r="D42" s="195">
        <f>IF(B42="-",C42,IF(B42=0, 0, VLOOKUP(A42,EvolSalarialCorreta!$A$2:$Z$217,B42+1,TRUE)))</f>
        <v>0</v>
      </c>
      <c r="E42" s="176">
        <f t="shared" si="0"/>
        <v>0</v>
      </c>
      <c r="F42" s="179">
        <f t="shared" si="9"/>
        <v>0</v>
      </c>
      <c r="G42" s="162">
        <v>0</v>
      </c>
      <c r="H42" s="195">
        <f t="shared" si="10"/>
        <v>0</v>
      </c>
      <c r="I42" s="176">
        <f t="shared" si="1"/>
        <v>0</v>
      </c>
      <c r="J42" s="179">
        <v>0</v>
      </c>
      <c r="K42" s="178">
        <f t="shared" si="2"/>
        <v>0</v>
      </c>
      <c r="L42" s="179">
        <v>0</v>
      </c>
      <c r="M42" s="177">
        <f t="shared" si="3"/>
        <v>0</v>
      </c>
      <c r="N42" s="179">
        <v>0</v>
      </c>
      <c r="O42" s="177">
        <f t="shared" si="4"/>
        <v>0</v>
      </c>
      <c r="P42" s="179">
        <v>0</v>
      </c>
      <c r="Q42" s="180">
        <f t="shared" si="11"/>
        <v>0</v>
      </c>
      <c r="R42" s="183">
        <f t="shared" si="12"/>
        <v>0</v>
      </c>
      <c r="S42" s="9">
        <f t="shared" ca="1" si="13"/>
        <v>3.8154156000000001</v>
      </c>
      <c r="T42" s="6">
        <f t="shared" ca="1" si="6"/>
        <v>0</v>
      </c>
      <c r="U42" s="3" cm="1">
        <f t="array" ref="U42">IF($O$1="0,5% ao mês", Juros($L$1,A42,$O$1),IF(A42&lt;$L$1,SUMIF(Juros!$A$2:$A$500,"&gt;="&amp;$L$1,Juros!$B$2:$B$500)*100,SUMIF(Juros!$A$2:$A$500,"&gt;="&amp;A42,Juros!$B$2:$B$500)*100))</f>
        <v>152.80979999999997</v>
      </c>
      <c r="V42" s="5">
        <f t="shared" ca="1" si="7"/>
        <v>0</v>
      </c>
      <c r="W42" s="184">
        <f t="shared" ca="1" si="8"/>
        <v>0</v>
      </c>
    </row>
    <row r="43" spans="1:23" x14ac:dyDescent="0.2">
      <c r="A43" s="191">
        <v>36831</v>
      </c>
      <c r="B43" s="197" t="str">
        <f>IFERROR(MATCH(C43,_xlfn.XLOOKUP(A43,EvolSalarial!$A$2:$A$349,EvolSalarial!$B$2:$Z$349),0),"-")</f>
        <v>-</v>
      </c>
      <c r="C43" s="185">
        <v>0</v>
      </c>
      <c r="D43" s="195">
        <f>IF(B43="-",C43,IF(B43=0, 0, VLOOKUP(A43,EvolSalarialCorreta!$A$2:$Z$217,B43+1,TRUE)))</f>
        <v>0</v>
      </c>
      <c r="E43" s="176">
        <f t="shared" si="0"/>
        <v>0</v>
      </c>
      <c r="F43" s="179">
        <f t="shared" si="9"/>
        <v>0</v>
      </c>
      <c r="G43" s="162">
        <v>0</v>
      </c>
      <c r="H43" s="195">
        <f t="shared" si="10"/>
        <v>0</v>
      </c>
      <c r="I43" s="176">
        <f t="shared" si="1"/>
        <v>0</v>
      </c>
      <c r="J43" s="179">
        <v>0</v>
      </c>
      <c r="K43" s="178">
        <f t="shared" si="2"/>
        <v>0</v>
      </c>
      <c r="L43" s="179">
        <v>0</v>
      </c>
      <c r="M43" s="177">
        <f t="shared" si="3"/>
        <v>0</v>
      </c>
      <c r="N43" s="179">
        <v>0</v>
      </c>
      <c r="O43" s="177">
        <f t="shared" si="4"/>
        <v>0</v>
      </c>
      <c r="P43" s="179">
        <v>0</v>
      </c>
      <c r="Q43" s="180">
        <f t="shared" si="11"/>
        <v>0</v>
      </c>
      <c r="R43" s="183">
        <f t="shared" si="12"/>
        <v>0</v>
      </c>
      <c r="S43" s="9">
        <f t="shared" ca="1" si="13"/>
        <v>3.8154156000000001</v>
      </c>
      <c r="T43" s="6">
        <f t="shared" ca="1" si="6"/>
        <v>0</v>
      </c>
      <c r="U43" s="3" cm="1">
        <f t="array" ref="U43">IF($O$1="0,5% ao mês", Juros($L$1,A43,$O$1),IF(A43&lt;$L$1,SUMIF(Juros!$A$2:$A$500,"&gt;="&amp;$L$1,Juros!$B$2:$B$500)*100,SUMIF(Juros!$A$2:$A$500,"&gt;="&amp;A43,Juros!$B$2:$B$500)*100))</f>
        <v>152.80979999999997</v>
      </c>
      <c r="V43" s="5">
        <f t="shared" ca="1" si="7"/>
        <v>0</v>
      </c>
      <c r="W43" s="184">
        <f t="shared" ca="1" si="8"/>
        <v>0</v>
      </c>
    </row>
    <row r="44" spans="1:23" x14ac:dyDescent="0.2">
      <c r="A44" s="191">
        <v>36861</v>
      </c>
      <c r="B44" s="197" t="str">
        <f>IFERROR(MATCH(C44,_xlfn.XLOOKUP(A44,EvolSalarial!$A$2:$A$349,EvolSalarial!$B$2:$Z$349),0),"-")</f>
        <v>-</v>
      </c>
      <c r="C44" s="185">
        <v>0</v>
      </c>
      <c r="D44" s="195">
        <f>IF(B44="-",C44,IF(B44=0, 0, VLOOKUP(A44,EvolSalarialCorreta!$A$2:$Z$217,B44+1,TRUE)))</f>
        <v>0</v>
      </c>
      <c r="E44" s="176">
        <f t="shared" si="0"/>
        <v>0</v>
      </c>
      <c r="F44" s="179">
        <f t="shared" si="9"/>
        <v>0</v>
      </c>
      <c r="G44" s="162">
        <v>0</v>
      </c>
      <c r="H44" s="195">
        <f t="shared" si="10"/>
        <v>0</v>
      </c>
      <c r="I44" s="176">
        <f t="shared" si="1"/>
        <v>0</v>
      </c>
      <c r="J44" s="179">
        <v>0</v>
      </c>
      <c r="K44" s="178">
        <f t="shared" si="2"/>
        <v>0</v>
      </c>
      <c r="L44" s="179">
        <v>0</v>
      </c>
      <c r="M44" s="177">
        <f t="shared" si="3"/>
        <v>0</v>
      </c>
      <c r="N44" s="179">
        <v>0</v>
      </c>
      <c r="O44" s="177">
        <f t="shared" si="4"/>
        <v>0</v>
      </c>
      <c r="P44" s="179">
        <v>0</v>
      </c>
      <c r="Q44" s="180">
        <f t="shared" si="11"/>
        <v>0</v>
      </c>
      <c r="R44" s="183">
        <f t="shared" si="12"/>
        <v>0</v>
      </c>
      <c r="S44" s="9">
        <f t="shared" ca="1" si="13"/>
        <v>3.8154156000000001</v>
      </c>
      <c r="T44" s="6">
        <f t="shared" ca="1" si="6"/>
        <v>0</v>
      </c>
      <c r="U44" s="3" cm="1">
        <f t="array" ref="U44">IF($O$1="0,5% ao mês", Juros($L$1,A44,$O$1),IF(A44&lt;$L$1,SUMIF(Juros!$A$2:$A$500,"&gt;="&amp;$L$1,Juros!$B$2:$B$500)*100,SUMIF(Juros!$A$2:$A$500,"&gt;="&amp;A44,Juros!$B$2:$B$500)*100))</f>
        <v>152.80979999999997</v>
      </c>
      <c r="V44" s="5">
        <f t="shared" ca="1" si="7"/>
        <v>0</v>
      </c>
      <c r="W44" s="184">
        <f t="shared" ca="1" si="8"/>
        <v>0</v>
      </c>
    </row>
    <row r="45" spans="1:23" x14ac:dyDescent="0.2">
      <c r="A45" s="191">
        <v>36892</v>
      </c>
      <c r="B45" s="197" t="str">
        <f>IFERROR(MATCH(C45,_xlfn.XLOOKUP(A45,EvolSalarial!$A$2:$A$349,EvolSalarial!$B$2:$Z$349),0),"-")</f>
        <v>-</v>
      </c>
      <c r="C45" s="185">
        <v>0</v>
      </c>
      <c r="D45" s="195">
        <f>IF(B45="-",C45,IF(B45=0, 0, VLOOKUP(A45,EvolSalarialCorreta!$A$2:$Z$217,B45+1,TRUE)))</f>
        <v>0</v>
      </c>
      <c r="E45" s="176">
        <f t="shared" si="0"/>
        <v>0</v>
      </c>
      <c r="F45" s="179">
        <f t="shared" si="9"/>
        <v>0</v>
      </c>
      <c r="G45" s="162">
        <v>0</v>
      </c>
      <c r="H45" s="195">
        <f t="shared" si="10"/>
        <v>0</v>
      </c>
      <c r="I45" s="176">
        <f t="shared" si="1"/>
        <v>0</v>
      </c>
      <c r="J45" s="179">
        <v>0</v>
      </c>
      <c r="K45" s="178">
        <f t="shared" si="2"/>
        <v>0</v>
      </c>
      <c r="L45" s="179">
        <v>0</v>
      </c>
      <c r="M45" s="177">
        <f t="shared" si="3"/>
        <v>0</v>
      </c>
      <c r="N45" s="179">
        <v>0</v>
      </c>
      <c r="O45" s="177">
        <f t="shared" si="4"/>
        <v>0</v>
      </c>
      <c r="P45" s="179">
        <v>0</v>
      </c>
      <c r="Q45" s="180">
        <f t="shared" si="11"/>
        <v>0</v>
      </c>
      <c r="R45" s="183">
        <f t="shared" si="12"/>
        <v>0</v>
      </c>
      <c r="S45" s="9">
        <f t="shared" ca="1" si="13"/>
        <v>3.5982417</v>
      </c>
      <c r="T45" s="6">
        <f t="shared" ca="1" si="6"/>
        <v>0</v>
      </c>
      <c r="U45" s="3" cm="1">
        <f t="array" ref="U45">IF($O$1="0,5% ao mês", Juros($L$1,A45,$O$1),IF(A45&lt;$L$1,SUMIF(Juros!$A$2:$A$500,"&gt;="&amp;$L$1,Juros!$B$2:$B$500)*100,SUMIF(Juros!$A$2:$A$500,"&gt;="&amp;A45,Juros!$B$2:$B$500)*100))</f>
        <v>152.20979999999997</v>
      </c>
      <c r="V45" s="5">
        <f t="shared" ca="1" si="7"/>
        <v>0</v>
      </c>
      <c r="W45" s="184">
        <f t="shared" ca="1" si="8"/>
        <v>0</v>
      </c>
    </row>
    <row r="46" spans="1:23" x14ac:dyDescent="0.2">
      <c r="A46" s="191">
        <v>36923</v>
      </c>
      <c r="B46" s="197" t="str">
        <f>IFERROR(MATCH(C46,_xlfn.XLOOKUP(A46,EvolSalarial!$A$2:$A$349,EvolSalarial!$B$2:$Z$349),0),"-")</f>
        <v>-</v>
      </c>
      <c r="C46" s="185">
        <v>0</v>
      </c>
      <c r="D46" s="195">
        <f>IF(B46="-",C46,IF(B46=0, 0, VLOOKUP(A46,EvolSalarialCorreta!$A$2:$Z$217,B46+1,TRUE)))</f>
        <v>0</v>
      </c>
      <c r="E46" s="176">
        <f t="shared" si="0"/>
        <v>0</v>
      </c>
      <c r="F46" s="179">
        <f t="shared" si="9"/>
        <v>0</v>
      </c>
      <c r="G46" s="162">
        <v>0</v>
      </c>
      <c r="H46" s="195">
        <f t="shared" si="10"/>
        <v>0</v>
      </c>
      <c r="I46" s="176">
        <f t="shared" si="1"/>
        <v>0</v>
      </c>
      <c r="J46" s="179">
        <v>0</v>
      </c>
      <c r="K46" s="178">
        <f t="shared" si="2"/>
        <v>0</v>
      </c>
      <c r="L46" s="179">
        <v>0</v>
      </c>
      <c r="M46" s="177">
        <f t="shared" si="3"/>
        <v>0</v>
      </c>
      <c r="N46" s="179">
        <v>0</v>
      </c>
      <c r="O46" s="177">
        <f t="shared" si="4"/>
        <v>0</v>
      </c>
      <c r="P46" s="179">
        <v>0</v>
      </c>
      <c r="Q46" s="180">
        <f t="shared" si="11"/>
        <v>0</v>
      </c>
      <c r="R46" s="183">
        <f t="shared" si="12"/>
        <v>0</v>
      </c>
      <c r="S46" s="9">
        <f t="shared" ca="1" si="13"/>
        <v>3.5757146999999998</v>
      </c>
      <c r="T46" s="6">
        <f t="shared" ca="1" si="6"/>
        <v>0</v>
      </c>
      <c r="U46" s="3" cm="1">
        <f t="array" ref="U46">IF($O$1="0,5% ao mês", Juros($L$1,A46,$O$1),IF(A46&lt;$L$1,SUMIF(Juros!$A$2:$A$500,"&gt;="&amp;$L$1,Juros!$B$2:$B$500)*100,SUMIF(Juros!$A$2:$A$500,"&gt;="&amp;A46,Juros!$B$2:$B$500)*100))</f>
        <v>151.56979999999996</v>
      </c>
      <c r="V46" s="5">
        <f t="shared" ca="1" si="7"/>
        <v>0</v>
      </c>
      <c r="W46" s="184">
        <f t="shared" ca="1" si="8"/>
        <v>0</v>
      </c>
    </row>
    <row r="47" spans="1:23" x14ac:dyDescent="0.2">
      <c r="A47" s="191">
        <v>36951</v>
      </c>
      <c r="B47" s="197" t="str">
        <f>IFERROR(MATCH(C47,_xlfn.XLOOKUP(A47,EvolSalarial!$A$2:$A$349,EvolSalarial!$B$2:$Z$349),0),"-")</f>
        <v>-</v>
      </c>
      <c r="C47" s="185">
        <v>0</v>
      </c>
      <c r="D47" s="195">
        <f>IF(B47="-",C47,IF(B47=0, 0, VLOOKUP(A47,EvolSalarialCorreta!$A$2:$Z$217,B47+1,TRUE)))</f>
        <v>0</v>
      </c>
      <c r="E47" s="176">
        <f t="shared" si="0"/>
        <v>0</v>
      </c>
      <c r="F47" s="179">
        <f t="shared" si="9"/>
        <v>0</v>
      </c>
      <c r="G47" s="162">
        <v>0</v>
      </c>
      <c r="H47" s="195">
        <f t="shared" si="10"/>
        <v>0</v>
      </c>
      <c r="I47" s="176">
        <f t="shared" si="1"/>
        <v>0</v>
      </c>
      <c r="J47" s="179">
        <v>0</v>
      </c>
      <c r="K47" s="178">
        <f t="shared" si="2"/>
        <v>0</v>
      </c>
      <c r="L47" s="179">
        <v>0</v>
      </c>
      <c r="M47" s="177">
        <f t="shared" si="3"/>
        <v>0</v>
      </c>
      <c r="N47" s="179">
        <v>0</v>
      </c>
      <c r="O47" s="177">
        <f t="shared" si="4"/>
        <v>0</v>
      </c>
      <c r="P47" s="179">
        <v>0</v>
      </c>
      <c r="Q47" s="180">
        <f t="shared" si="11"/>
        <v>0</v>
      </c>
      <c r="R47" s="183">
        <f t="shared" si="12"/>
        <v>0</v>
      </c>
      <c r="S47" s="9">
        <f t="shared" ca="1" si="13"/>
        <v>3.557925</v>
      </c>
      <c r="T47" s="6">
        <f t="shared" ca="1" si="6"/>
        <v>0</v>
      </c>
      <c r="U47" s="3" cm="1">
        <f t="array" ref="U47">IF($O$1="0,5% ao mês", Juros($L$1,A47,$O$1),IF(A47&lt;$L$1,SUMIF(Juros!$A$2:$A$500,"&gt;="&amp;$L$1,Juros!$B$2:$B$500)*100,SUMIF(Juros!$A$2:$A$500,"&gt;="&amp;A47,Juros!$B$2:$B$500)*100))</f>
        <v>151.02979999999997</v>
      </c>
      <c r="V47" s="5">
        <f t="shared" ca="1" si="7"/>
        <v>0</v>
      </c>
      <c r="W47" s="184">
        <f t="shared" ca="1" si="8"/>
        <v>0</v>
      </c>
    </row>
    <row r="48" spans="1:23" x14ac:dyDescent="0.2">
      <c r="A48" s="191">
        <v>36982</v>
      </c>
      <c r="B48" s="197" t="str">
        <f>IFERROR(MATCH(C48,_xlfn.XLOOKUP(A48,EvolSalarial!$A$2:$A$349,EvolSalarial!$B$2:$Z$349),0),"-")</f>
        <v>-</v>
      </c>
      <c r="C48" s="185">
        <v>0</v>
      </c>
      <c r="D48" s="195">
        <f>IF(B48="-",C48,IF(B48=0, 0, VLOOKUP(A48,EvolSalarialCorreta!$A$2:$Z$217,B48+1,TRUE)))</f>
        <v>0</v>
      </c>
      <c r="E48" s="176">
        <f t="shared" si="0"/>
        <v>0</v>
      </c>
      <c r="F48" s="179">
        <f t="shared" si="9"/>
        <v>0</v>
      </c>
      <c r="G48" s="162">
        <v>0</v>
      </c>
      <c r="H48" s="195">
        <f t="shared" si="10"/>
        <v>0</v>
      </c>
      <c r="I48" s="176">
        <f t="shared" si="1"/>
        <v>0</v>
      </c>
      <c r="J48" s="179">
        <v>0</v>
      </c>
      <c r="K48" s="178">
        <f t="shared" si="2"/>
        <v>0</v>
      </c>
      <c r="L48" s="179">
        <v>0</v>
      </c>
      <c r="M48" s="177">
        <f t="shared" si="3"/>
        <v>0</v>
      </c>
      <c r="N48" s="179">
        <v>0</v>
      </c>
      <c r="O48" s="177">
        <f t="shared" si="4"/>
        <v>0</v>
      </c>
      <c r="P48" s="179">
        <v>0</v>
      </c>
      <c r="Q48" s="180">
        <f t="shared" si="11"/>
        <v>0</v>
      </c>
      <c r="R48" s="183">
        <f t="shared" si="12"/>
        <v>0</v>
      </c>
      <c r="S48" s="9">
        <f t="shared" ca="1" si="13"/>
        <v>3.5451624000000002</v>
      </c>
      <c r="T48" s="6">
        <f t="shared" ca="1" si="6"/>
        <v>0</v>
      </c>
      <c r="U48" s="3" cm="1">
        <f t="array" ref="U48">IF($O$1="0,5% ao mês", Juros($L$1,A48,$O$1),IF(A48&lt;$L$1,SUMIF(Juros!$A$2:$A$500,"&gt;="&amp;$L$1,Juros!$B$2:$B$500)*100,SUMIF(Juros!$A$2:$A$500,"&gt;="&amp;A48,Juros!$B$2:$B$500)*100))</f>
        <v>150.35979999999995</v>
      </c>
      <c r="V48" s="5">
        <f t="shared" ca="1" si="7"/>
        <v>0</v>
      </c>
      <c r="W48" s="184">
        <f t="shared" ca="1" si="8"/>
        <v>0</v>
      </c>
    </row>
    <row r="49" spans="1:23" x14ac:dyDescent="0.2">
      <c r="A49" s="191">
        <v>37012</v>
      </c>
      <c r="B49" s="197" t="str">
        <f>IFERROR(MATCH(C49,_xlfn.XLOOKUP(A49,EvolSalarial!$A$2:$A$349,EvolSalarial!$B$2:$Z$349),0),"-")</f>
        <v>-</v>
      </c>
      <c r="C49" s="185">
        <v>0</v>
      </c>
      <c r="D49" s="195">
        <f>IF(B49="-",C49,IF(B49=0, 0, VLOOKUP(A49,EvolSalarialCorreta!$A$2:$Z$217,B49+1,TRUE)))</f>
        <v>0</v>
      </c>
      <c r="E49" s="176">
        <f t="shared" si="0"/>
        <v>0</v>
      </c>
      <c r="F49" s="179">
        <f t="shared" si="9"/>
        <v>0</v>
      </c>
      <c r="G49" s="162">
        <v>0</v>
      </c>
      <c r="H49" s="195">
        <f t="shared" si="10"/>
        <v>0</v>
      </c>
      <c r="I49" s="176">
        <f t="shared" si="1"/>
        <v>0</v>
      </c>
      <c r="J49" s="179">
        <v>0</v>
      </c>
      <c r="K49" s="178">
        <f t="shared" si="2"/>
        <v>0</v>
      </c>
      <c r="L49" s="179">
        <v>0</v>
      </c>
      <c r="M49" s="177">
        <f t="shared" si="3"/>
        <v>0</v>
      </c>
      <c r="N49" s="179">
        <v>0</v>
      </c>
      <c r="O49" s="177">
        <f t="shared" si="4"/>
        <v>0</v>
      </c>
      <c r="P49" s="179">
        <v>0</v>
      </c>
      <c r="Q49" s="180">
        <f t="shared" si="11"/>
        <v>0</v>
      </c>
      <c r="R49" s="183">
        <f t="shared" si="12"/>
        <v>0</v>
      </c>
      <c r="S49" s="9">
        <f t="shared" ca="1" si="13"/>
        <v>3.5275248000000001</v>
      </c>
      <c r="T49" s="6">
        <f t="shared" ca="1" si="6"/>
        <v>0</v>
      </c>
      <c r="U49" s="3" cm="1">
        <f t="array" ref="U49">IF($O$1="0,5% ao mês", Juros($L$1,A49,$O$1),IF(A49&lt;$L$1,SUMIF(Juros!$A$2:$A$500,"&gt;="&amp;$L$1,Juros!$B$2:$B$500)*100,SUMIF(Juros!$A$2:$A$500,"&gt;="&amp;A49,Juros!$B$2:$B$500)*100))</f>
        <v>149.69979999999995</v>
      </c>
      <c r="V49" s="5">
        <f t="shared" ca="1" si="7"/>
        <v>0</v>
      </c>
      <c r="W49" s="184">
        <f t="shared" ca="1" si="8"/>
        <v>0</v>
      </c>
    </row>
    <row r="50" spans="1:23" x14ac:dyDescent="0.2">
      <c r="A50" s="191">
        <v>37043</v>
      </c>
      <c r="B50" s="197" t="str">
        <f>IFERROR(MATCH(C50,_xlfn.XLOOKUP(A50,EvolSalarial!$A$2:$A$349,EvolSalarial!$B$2:$Z$349),0),"-")</f>
        <v>-</v>
      </c>
      <c r="C50" s="185">
        <v>0</v>
      </c>
      <c r="D50" s="195">
        <f>IF(B50="-",C50,IF(B50=0, 0, VLOOKUP(A50,EvolSalarialCorreta!$A$2:$Z$217,B50+1,TRUE)))</f>
        <v>0</v>
      </c>
      <c r="E50" s="176">
        <f t="shared" si="0"/>
        <v>0</v>
      </c>
      <c r="F50" s="179">
        <f t="shared" si="9"/>
        <v>0</v>
      </c>
      <c r="G50" s="162">
        <v>0</v>
      </c>
      <c r="H50" s="195">
        <f t="shared" si="10"/>
        <v>0</v>
      </c>
      <c r="I50" s="176">
        <f t="shared" si="1"/>
        <v>0</v>
      </c>
      <c r="J50" s="179">
        <v>0</v>
      </c>
      <c r="K50" s="178">
        <f t="shared" si="2"/>
        <v>0</v>
      </c>
      <c r="L50" s="179">
        <v>0</v>
      </c>
      <c r="M50" s="177">
        <f t="shared" si="3"/>
        <v>0</v>
      </c>
      <c r="N50" s="179">
        <v>0</v>
      </c>
      <c r="O50" s="177">
        <f t="shared" si="4"/>
        <v>0</v>
      </c>
      <c r="P50" s="179">
        <v>0</v>
      </c>
      <c r="Q50" s="180">
        <f t="shared" si="11"/>
        <v>0</v>
      </c>
      <c r="R50" s="183">
        <f t="shared" si="12"/>
        <v>0</v>
      </c>
      <c r="S50" s="9">
        <f t="shared" ca="1" si="13"/>
        <v>3.5103241999999999</v>
      </c>
      <c r="T50" s="6">
        <f t="shared" ca="1" si="6"/>
        <v>0</v>
      </c>
      <c r="U50" s="3" cm="1">
        <f t="array" ref="U50">IF($O$1="0,5% ao mês", Juros($L$1,A50,$O$1),IF(A50&lt;$L$1,SUMIF(Juros!$A$2:$A$500,"&gt;="&amp;$L$1,Juros!$B$2:$B$500)*100,SUMIF(Juros!$A$2:$A$500,"&gt;="&amp;A50,Juros!$B$2:$B$500)*100))</f>
        <v>149.01979999999992</v>
      </c>
      <c r="V50" s="5">
        <f t="shared" ca="1" si="7"/>
        <v>0</v>
      </c>
      <c r="W50" s="184">
        <f t="shared" ca="1" si="8"/>
        <v>0</v>
      </c>
    </row>
    <row r="51" spans="1:23" x14ac:dyDescent="0.2">
      <c r="A51" s="191">
        <v>37073</v>
      </c>
      <c r="B51" s="197" t="str">
        <f>IFERROR(MATCH(C51,_xlfn.XLOOKUP(A51,EvolSalarial!$A$2:$A$349,EvolSalarial!$B$2:$Z$349),0),"-")</f>
        <v>-</v>
      </c>
      <c r="C51" s="185">
        <v>0</v>
      </c>
      <c r="D51" s="195">
        <f>IF(B51="-",C51,IF(B51=0, 0, VLOOKUP(A51,EvolSalarialCorreta!$A$2:$Z$217,B51+1,TRUE)))</f>
        <v>0</v>
      </c>
      <c r="E51" s="176">
        <f t="shared" si="0"/>
        <v>0</v>
      </c>
      <c r="F51" s="179">
        <f t="shared" si="9"/>
        <v>0</v>
      </c>
      <c r="G51" s="162">
        <v>0</v>
      </c>
      <c r="H51" s="195">
        <f t="shared" si="10"/>
        <v>0</v>
      </c>
      <c r="I51" s="176">
        <f t="shared" si="1"/>
        <v>0</v>
      </c>
      <c r="J51" s="179">
        <v>0</v>
      </c>
      <c r="K51" s="178">
        <f t="shared" si="2"/>
        <v>0</v>
      </c>
      <c r="L51" s="179">
        <v>0</v>
      </c>
      <c r="M51" s="177">
        <f t="shared" si="3"/>
        <v>0</v>
      </c>
      <c r="N51" s="179">
        <v>0</v>
      </c>
      <c r="O51" s="177">
        <f t="shared" si="4"/>
        <v>0</v>
      </c>
      <c r="P51" s="179">
        <v>0</v>
      </c>
      <c r="Q51" s="180">
        <f t="shared" si="11"/>
        <v>0</v>
      </c>
      <c r="R51" s="183">
        <f t="shared" si="12"/>
        <v>0</v>
      </c>
      <c r="S51" s="9">
        <f t="shared" ca="1" si="13"/>
        <v>3.4970355</v>
      </c>
      <c r="T51" s="6">
        <f t="shared" ca="1" si="6"/>
        <v>0</v>
      </c>
      <c r="U51" s="3" cm="1">
        <f t="array" ref="U51">IF($O$1="0,5% ao mês", Juros($L$1,A51,$O$1),IF(A51&lt;$L$1,SUMIF(Juros!$A$2:$A$500,"&gt;="&amp;$L$1,Juros!$B$2:$B$500)*100,SUMIF(Juros!$A$2:$A$500,"&gt;="&amp;A51,Juros!$B$2:$B$500)*100))</f>
        <v>148.36979999999994</v>
      </c>
      <c r="V51" s="5">
        <f t="shared" ca="1" si="7"/>
        <v>0</v>
      </c>
      <c r="W51" s="184">
        <f t="shared" ca="1" si="8"/>
        <v>0</v>
      </c>
    </row>
    <row r="52" spans="1:23" x14ac:dyDescent="0.2">
      <c r="A52" s="191">
        <v>37104</v>
      </c>
      <c r="B52" s="197" t="str">
        <f>IFERROR(MATCH(C52,_xlfn.XLOOKUP(A52,EvolSalarial!$A$2:$A$349,EvolSalarial!$B$2:$Z$349),0),"-")</f>
        <v>-</v>
      </c>
      <c r="C52" s="185">
        <v>0</v>
      </c>
      <c r="D52" s="195">
        <f>IF(B52="-",C52,IF(B52=0, 0, VLOOKUP(A52,EvolSalarialCorreta!$A$2:$Z$217,B52+1,TRUE)))</f>
        <v>0</v>
      </c>
      <c r="E52" s="176">
        <f t="shared" si="0"/>
        <v>0</v>
      </c>
      <c r="F52" s="179">
        <f t="shared" si="9"/>
        <v>0</v>
      </c>
      <c r="G52" s="162">
        <v>0</v>
      </c>
      <c r="H52" s="195">
        <f t="shared" si="10"/>
        <v>0</v>
      </c>
      <c r="I52" s="176">
        <f t="shared" si="1"/>
        <v>0</v>
      </c>
      <c r="J52" s="179">
        <v>0</v>
      </c>
      <c r="K52" s="178">
        <f t="shared" si="2"/>
        <v>0</v>
      </c>
      <c r="L52" s="179">
        <v>0</v>
      </c>
      <c r="M52" s="177">
        <f t="shared" si="3"/>
        <v>0</v>
      </c>
      <c r="N52" s="179">
        <v>0</v>
      </c>
      <c r="O52" s="177">
        <f t="shared" si="4"/>
        <v>0</v>
      </c>
      <c r="P52" s="179">
        <v>0</v>
      </c>
      <c r="Q52" s="180">
        <f t="shared" si="11"/>
        <v>0</v>
      </c>
      <c r="R52" s="183">
        <f t="shared" si="12"/>
        <v>0</v>
      </c>
      <c r="S52" s="9">
        <f t="shared" ca="1" si="13"/>
        <v>3.4644694999999999</v>
      </c>
      <c r="T52" s="6">
        <f t="shared" ca="1" si="6"/>
        <v>0</v>
      </c>
      <c r="U52" s="3" cm="1">
        <f t="array" ref="U52">IF($O$1="0,5% ao mês", Juros($L$1,A52,$O$1),IF(A52&lt;$L$1,SUMIF(Juros!$A$2:$A$500,"&gt;="&amp;$L$1,Juros!$B$2:$B$500)*100,SUMIF(Juros!$A$2:$A$500,"&gt;="&amp;A52,Juros!$B$2:$B$500)*100))</f>
        <v>147.61979999999991</v>
      </c>
      <c r="V52" s="5">
        <f t="shared" ca="1" si="7"/>
        <v>0</v>
      </c>
      <c r="W52" s="184">
        <f t="shared" ca="1" si="8"/>
        <v>0</v>
      </c>
    </row>
    <row r="53" spans="1:23" x14ac:dyDescent="0.2">
      <c r="A53" s="191">
        <v>37135</v>
      </c>
      <c r="B53" s="197" t="str">
        <f>IFERROR(MATCH(C53,_xlfn.XLOOKUP(A53,EvolSalarial!$A$2:$A$349,EvolSalarial!$B$2:$Z$349),0),"-")</f>
        <v>-</v>
      </c>
      <c r="C53" s="185">
        <v>0</v>
      </c>
      <c r="D53" s="195">
        <f>IF(B53="-",C53,IF(B53=0, 0, VLOOKUP(A53,EvolSalarialCorreta!$A$2:$Z$217,B53+1,TRUE)))</f>
        <v>0</v>
      </c>
      <c r="E53" s="176">
        <f t="shared" si="0"/>
        <v>0</v>
      </c>
      <c r="F53" s="179">
        <f t="shared" si="9"/>
        <v>0</v>
      </c>
      <c r="G53" s="162">
        <v>0</v>
      </c>
      <c r="H53" s="195">
        <f t="shared" si="10"/>
        <v>0</v>
      </c>
      <c r="I53" s="176">
        <f t="shared" si="1"/>
        <v>0</v>
      </c>
      <c r="J53" s="179">
        <v>0</v>
      </c>
      <c r="K53" s="178">
        <f t="shared" si="2"/>
        <v>0</v>
      </c>
      <c r="L53" s="179">
        <v>0</v>
      </c>
      <c r="M53" s="177">
        <f t="shared" si="3"/>
        <v>0</v>
      </c>
      <c r="N53" s="179">
        <v>0</v>
      </c>
      <c r="O53" s="177">
        <f t="shared" si="4"/>
        <v>0</v>
      </c>
      <c r="P53" s="179">
        <v>0</v>
      </c>
      <c r="Q53" s="180">
        <f t="shared" si="11"/>
        <v>0</v>
      </c>
      <c r="R53" s="183">
        <f t="shared" si="12"/>
        <v>0</v>
      </c>
      <c r="S53" s="9">
        <f t="shared" ca="1" si="13"/>
        <v>3.4240655000000002</v>
      </c>
      <c r="T53" s="6">
        <f t="shared" ca="1" si="6"/>
        <v>0</v>
      </c>
      <c r="U53" s="3" cm="1">
        <f t="array" ref="U53">IF($O$1="0,5% ao mês", Juros($L$1,A53,$O$1),IF(A53&lt;$L$1,SUMIF(Juros!$A$2:$A$500,"&gt;="&amp;$L$1,Juros!$B$2:$B$500)*100,SUMIF(Juros!$A$2:$A$500,"&gt;="&amp;A53,Juros!$B$2:$B$500)*100))</f>
        <v>146.76979999999992</v>
      </c>
      <c r="V53" s="5">
        <f t="shared" ca="1" si="7"/>
        <v>0</v>
      </c>
      <c r="W53" s="184">
        <f t="shared" ca="1" si="8"/>
        <v>0</v>
      </c>
    </row>
    <row r="54" spans="1:23" x14ac:dyDescent="0.2">
      <c r="A54" s="191">
        <v>37165</v>
      </c>
      <c r="B54" s="197" t="str">
        <f>IFERROR(MATCH(C54,_xlfn.XLOOKUP(A54,EvolSalarial!$A$2:$A$349,EvolSalarial!$B$2:$Z$349),0),"-")</f>
        <v>-</v>
      </c>
      <c r="C54" s="185">
        <v>0</v>
      </c>
      <c r="D54" s="195">
        <f>IF(B54="-",C54,IF(B54=0, 0, VLOOKUP(A54,EvolSalarialCorreta!$A$2:$Z$217,B54+1,TRUE)))</f>
        <v>0</v>
      </c>
      <c r="E54" s="176">
        <f t="shared" si="0"/>
        <v>0</v>
      </c>
      <c r="F54" s="179">
        <f t="shared" si="9"/>
        <v>0</v>
      </c>
      <c r="G54" s="162">
        <v>0</v>
      </c>
      <c r="H54" s="195">
        <f t="shared" si="10"/>
        <v>0</v>
      </c>
      <c r="I54" s="176">
        <f t="shared" si="1"/>
        <v>0</v>
      </c>
      <c r="J54" s="179">
        <v>0</v>
      </c>
      <c r="K54" s="178">
        <f t="shared" si="2"/>
        <v>0</v>
      </c>
      <c r="L54" s="179">
        <v>0</v>
      </c>
      <c r="M54" s="177">
        <f t="shared" si="3"/>
        <v>0</v>
      </c>
      <c r="N54" s="179">
        <v>0</v>
      </c>
      <c r="O54" s="177">
        <f t="shared" si="4"/>
        <v>0</v>
      </c>
      <c r="P54" s="179">
        <v>0</v>
      </c>
      <c r="Q54" s="180">
        <f t="shared" si="11"/>
        <v>0</v>
      </c>
      <c r="R54" s="183">
        <f t="shared" si="12"/>
        <v>0</v>
      </c>
      <c r="S54" s="9">
        <f t="shared" ca="1" si="13"/>
        <v>3.4111033000000002</v>
      </c>
      <c r="T54" s="6">
        <f t="shared" ca="1" si="6"/>
        <v>0</v>
      </c>
      <c r="U54" s="3" cm="1">
        <f t="array" ref="U54">IF($O$1="0,5% ao mês", Juros($L$1,A54,$O$1),IF(A54&lt;$L$1,SUMIF(Juros!$A$2:$A$500,"&gt;="&amp;$L$1,Juros!$B$2:$B$500)*100,SUMIF(Juros!$A$2:$A$500,"&gt;="&amp;A54,Juros!$B$2:$B$500)*100))</f>
        <v>146.10979999999992</v>
      </c>
      <c r="V54" s="5">
        <f t="shared" ca="1" si="7"/>
        <v>0</v>
      </c>
      <c r="W54" s="184">
        <f t="shared" ca="1" si="8"/>
        <v>0</v>
      </c>
    </row>
    <row r="55" spans="1:23" x14ac:dyDescent="0.2">
      <c r="A55" s="191">
        <v>37196</v>
      </c>
      <c r="B55" s="197" t="str">
        <f>IFERROR(MATCH(C55,_xlfn.XLOOKUP(A55,EvolSalarial!$A$2:$A$349,EvolSalarial!$B$2:$Z$349),0),"-")</f>
        <v>-</v>
      </c>
      <c r="C55" s="185">
        <v>0</v>
      </c>
      <c r="D55" s="195">
        <f>IF(B55="-",C55,IF(B55=0, 0, VLOOKUP(A55,EvolSalarialCorreta!$A$2:$Z$217,B55+1,TRUE)))</f>
        <v>0</v>
      </c>
      <c r="E55" s="176">
        <f t="shared" si="0"/>
        <v>0</v>
      </c>
      <c r="F55" s="179">
        <f t="shared" si="9"/>
        <v>0</v>
      </c>
      <c r="G55" s="162">
        <v>0</v>
      </c>
      <c r="H55" s="195">
        <f t="shared" si="10"/>
        <v>0</v>
      </c>
      <c r="I55" s="176">
        <f t="shared" si="1"/>
        <v>0</v>
      </c>
      <c r="J55" s="179">
        <v>0</v>
      </c>
      <c r="K55" s="178">
        <f t="shared" si="2"/>
        <v>0</v>
      </c>
      <c r="L55" s="179">
        <v>0</v>
      </c>
      <c r="M55" s="177">
        <f t="shared" si="3"/>
        <v>0</v>
      </c>
      <c r="N55" s="179">
        <v>0</v>
      </c>
      <c r="O55" s="177">
        <f t="shared" si="4"/>
        <v>0</v>
      </c>
      <c r="P55" s="179">
        <v>0</v>
      </c>
      <c r="Q55" s="180">
        <f t="shared" si="11"/>
        <v>0</v>
      </c>
      <c r="R55" s="183">
        <f t="shared" si="12"/>
        <v>0</v>
      </c>
      <c r="S55" s="9">
        <f t="shared" ca="1" si="13"/>
        <v>3.3985287999999998</v>
      </c>
      <c r="T55" s="6">
        <f t="shared" ca="1" si="6"/>
        <v>0</v>
      </c>
      <c r="U55" s="3" cm="1">
        <f t="array" ref="U55">IF($O$1="0,5% ao mês", Juros($L$1,A55,$O$1),IF(A55&lt;$L$1,SUMIF(Juros!$A$2:$A$500,"&gt;="&amp;$L$1,Juros!$B$2:$B$500)*100,SUMIF(Juros!$A$2:$A$500,"&gt;="&amp;A55,Juros!$B$2:$B$500)*100))</f>
        <v>145.3197999999999</v>
      </c>
      <c r="V55" s="5">
        <f t="shared" ca="1" si="7"/>
        <v>0</v>
      </c>
      <c r="W55" s="184">
        <f t="shared" ca="1" si="8"/>
        <v>0</v>
      </c>
    </row>
    <row r="56" spans="1:23" x14ac:dyDescent="0.2">
      <c r="A56" s="191">
        <v>37226</v>
      </c>
      <c r="B56" s="197" t="str">
        <f>IFERROR(MATCH(C56,_xlfn.XLOOKUP(A56,EvolSalarial!$A$2:$A$349,EvolSalarial!$B$2:$Z$349),0),"-")</f>
        <v>-</v>
      </c>
      <c r="C56" s="185">
        <v>0</v>
      </c>
      <c r="D56" s="195">
        <f>IF(B56="-",C56,IF(B56=0, 0, VLOOKUP(A56,EvolSalarialCorreta!$A$2:$Z$217,B56+1,TRUE)))</f>
        <v>0</v>
      </c>
      <c r="E56" s="176">
        <f t="shared" si="0"/>
        <v>0</v>
      </c>
      <c r="F56" s="179">
        <f t="shared" si="9"/>
        <v>0</v>
      </c>
      <c r="G56" s="162">
        <v>0</v>
      </c>
      <c r="H56" s="195">
        <f t="shared" si="10"/>
        <v>0</v>
      </c>
      <c r="I56" s="176">
        <f t="shared" si="1"/>
        <v>0</v>
      </c>
      <c r="J56" s="179">
        <v>0</v>
      </c>
      <c r="K56" s="178">
        <f t="shared" si="2"/>
        <v>0</v>
      </c>
      <c r="L56" s="179">
        <v>0</v>
      </c>
      <c r="M56" s="177">
        <f t="shared" si="3"/>
        <v>0</v>
      </c>
      <c r="N56" s="179">
        <v>0</v>
      </c>
      <c r="O56" s="177">
        <f t="shared" si="4"/>
        <v>0</v>
      </c>
      <c r="P56" s="179">
        <v>0</v>
      </c>
      <c r="Q56" s="180">
        <f t="shared" si="11"/>
        <v>0</v>
      </c>
      <c r="R56" s="183">
        <f t="shared" si="12"/>
        <v>0</v>
      </c>
      <c r="S56" s="9">
        <f t="shared" ca="1" si="13"/>
        <v>3.3652131999999999</v>
      </c>
      <c r="T56" s="6">
        <f t="shared" ca="1" si="6"/>
        <v>0</v>
      </c>
      <c r="U56" s="3" cm="1">
        <f t="array" ref="U56">IF($O$1="0,5% ao mês", Juros($L$1,A56,$O$1),IF(A56&lt;$L$1,SUMIF(Juros!$A$2:$A$500,"&gt;="&amp;$L$1,Juros!$B$2:$B$500)*100,SUMIF(Juros!$A$2:$A$500,"&gt;="&amp;A56,Juros!$B$2:$B$500)*100))</f>
        <v>144.62979999999993</v>
      </c>
      <c r="V56" s="5">
        <f t="shared" ca="1" si="7"/>
        <v>0</v>
      </c>
      <c r="W56" s="184">
        <f t="shared" ca="1" si="8"/>
        <v>0</v>
      </c>
    </row>
    <row r="57" spans="1:23" x14ac:dyDescent="0.2">
      <c r="A57" s="191">
        <v>37257</v>
      </c>
      <c r="B57" s="197" t="str">
        <f>IFERROR(MATCH(C57,_xlfn.XLOOKUP(A57,EvolSalarial!$A$2:$A$349,EvolSalarial!$B$2:$Z$349),0),"-")</f>
        <v>-</v>
      </c>
      <c r="C57" s="185">
        <v>0</v>
      </c>
      <c r="D57" s="195">
        <f>IF(B57="-",C57,IF(B57=0, 0, VLOOKUP(A57,EvolSalarialCorreta!$A$2:$Z$217,B57+1,TRUE)))</f>
        <v>0</v>
      </c>
      <c r="E57" s="176">
        <f t="shared" si="0"/>
        <v>0</v>
      </c>
      <c r="F57" s="179">
        <f t="shared" si="9"/>
        <v>0</v>
      </c>
      <c r="G57" s="162">
        <v>0</v>
      </c>
      <c r="H57" s="195">
        <f t="shared" si="10"/>
        <v>0</v>
      </c>
      <c r="I57" s="176">
        <f t="shared" si="1"/>
        <v>0</v>
      </c>
      <c r="J57" s="179">
        <v>0</v>
      </c>
      <c r="K57" s="178">
        <f t="shared" si="2"/>
        <v>0</v>
      </c>
      <c r="L57" s="179">
        <v>0</v>
      </c>
      <c r="M57" s="177">
        <f t="shared" si="3"/>
        <v>0</v>
      </c>
      <c r="N57" s="179">
        <v>0</v>
      </c>
      <c r="O57" s="177">
        <f t="shared" si="4"/>
        <v>0</v>
      </c>
      <c r="P57" s="179">
        <v>0</v>
      </c>
      <c r="Q57" s="180">
        <f t="shared" si="11"/>
        <v>0</v>
      </c>
      <c r="R57" s="183">
        <f t="shared" si="12"/>
        <v>0</v>
      </c>
      <c r="S57" s="9">
        <f t="shared" ca="1" si="13"/>
        <v>3.3468057</v>
      </c>
      <c r="T57" s="6">
        <f t="shared" ca="1" si="6"/>
        <v>0</v>
      </c>
      <c r="U57" s="3" cm="1">
        <f t="array" ref="U57">IF($O$1="0,5% ao mês", Juros($L$1,A57,$O$1),IF(A57&lt;$L$1,SUMIF(Juros!$A$2:$A$500,"&gt;="&amp;$L$1,Juros!$B$2:$B$500)*100,SUMIF(Juros!$A$2:$A$500,"&gt;="&amp;A57,Juros!$B$2:$B$500)*100))</f>
        <v>143.92979999999991</v>
      </c>
      <c r="V57" s="5">
        <f t="shared" ca="1" si="7"/>
        <v>0</v>
      </c>
      <c r="W57" s="184">
        <f t="shared" ca="1" si="8"/>
        <v>0</v>
      </c>
    </row>
    <row r="58" spans="1:23" x14ac:dyDescent="0.2">
      <c r="A58" s="191">
        <v>37288</v>
      </c>
      <c r="B58" s="197" t="str">
        <f>IFERROR(MATCH(C58,_xlfn.XLOOKUP(A58,EvolSalarial!$A$2:$A$349,EvolSalarial!$B$2:$Z$349),0),"-")</f>
        <v>-</v>
      </c>
      <c r="C58" s="185">
        <v>0</v>
      </c>
      <c r="D58" s="195">
        <f>IF(B58="-",C58,IF(B58=0, 0, VLOOKUP(A58,EvolSalarialCorreta!$A$2:$Z$217,B58+1,TRUE)))</f>
        <v>0</v>
      </c>
      <c r="E58" s="176">
        <f t="shared" si="0"/>
        <v>0</v>
      </c>
      <c r="F58" s="179">
        <f t="shared" si="9"/>
        <v>0</v>
      </c>
      <c r="G58" s="162">
        <v>0</v>
      </c>
      <c r="H58" s="195">
        <f t="shared" si="10"/>
        <v>0</v>
      </c>
      <c r="I58" s="176">
        <f t="shared" si="1"/>
        <v>0</v>
      </c>
      <c r="J58" s="179">
        <v>0</v>
      </c>
      <c r="K58" s="178">
        <f t="shared" si="2"/>
        <v>0</v>
      </c>
      <c r="L58" s="179">
        <v>0</v>
      </c>
      <c r="M58" s="177">
        <f t="shared" si="3"/>
        <v>0</v>
      </c>
      <c r="N58" s="179">
        <v>0</v>
      </c>
      <c r="O58" s="177">
        <f t="shared" si="4"/>
        <v>0</v>
      </c>
      <c r="P58" s="179">
        <v>0</v>
      </c>
      <c r="Q58" s="180">
        <f t="shared" si="11"/>
        <v>0</v>
      </c>
      <c r="R58" s="183">
        <f t="shared" si="12"/>
        <v>0</v>
      </c>
      <c r="S58" s="9">
        <f t="shared" ca="1" si="13"/>
        <v>3.3261834000000001</v>
      </c>
      <c r="T58" s="6">
        <f t="shared" ca="1" si="6"/>
        <v>0</v>
      </c>
      <c r="U58" s="3" cm="1">
        <f t="array" ref="U58">IF($O$1="0,5% ao mês", Juros($L$1,A58,$O$1),IF(A58&lt;$L$1,SUMIF(Juros!$A$2:$A$500,"&gt;="&amp;$L$1,Juros!$B$2:$B$500)*100,SUMIF(Juros!$A$2:$A$500,"&gt;="&amp;A58,Juros!$B$2:$B$500)*100))</f>
        <v>143.16979999999992</v>
      </c>
      <c r="V58" s="5">
        <f t="shared" ca="1" si="7"/>
        <v>0</v>
      </c>
      <c r="W58" s="184">
        <f t="shared" ca="1" si="8"/>
        <v>0</v>
      </c>
    </row>
    <row r="59" spans="1:23" x14ac:dyDescent="0.2">
      <c r="A59" s="191">
        <v>37316</v>
      </c>
      <c r="B59" s="197" t="str">
        <f>IFERROR(MATCH(C59,_xlfn.XLOOKUP(A59,EvolSalarial!$A$2:$A$349,EvolSalarial!$B$2:$Z$349),0),"-")</f>
        <v>-</v>
      </c>
      <c r="C59" s="185">
        <v>0</v>
      </c>
      <c r="D59" s="195">
        <f>IF(B59="-",C59,IF(B59=0, 0, VLOOKUP(A59,EvolSalarialCorreta!$A$2:$Z$217,B59+1,TRUE)))</f>
        <v>0</v>
      </c>
      <c r="E59" s="176">
        <f t="shared" si="0"/>
        <v>0</v>
      </c>
      <c r="F59" s="179">
        <f t="shared" si="9"/>
        <v>0</v>
      </c>
      <c r="G59" s="162">
        <v>0</v>
      </c>
      <c r="H59" s="195">
        <f t="shared" si="10"/>
        <v>0</v>
      </c>
      <c r="I59" s="176">
        <f t="shared" si="1"/>
        <v>0</v>
      </c>
      <c r="J59" s="179">
        <v>0</v>
      </c>
      <c r="K59" s="178">
        <f t="shared" si="2"/>
        <v>0</v>
      </c>
      <c r="L59" s="179">
        <v>0</v>
      </c>
      <c r="M59" s="177">
        <f t="shared" si="3"/>
        <v>0</v>
      </c>
      <c r="N59" s="179">
        <v>0</v>
      </c>
      <c r="O59" s="177">
        <f t="shared" si="4"/>
        <v>0</v>
      </c>
      <c r="P59" s="179">
        <v>0</v>
      </c>
      <c r="Q59" s="180">
        <f t="shared" si="11"/>
        <v>0</v>
      </c>
      <c r="R59" s="183">
        <f t="shared" si="12"/>
        <v>0</v>
      </c>
      <c r="S59" s="9">
        <f t="shared" ca="1" si="13"/>
        <v>3.3116123000000002</v>
      </c>
      <c r="T59" s="6">
        <f t="shared" ca="1" si="6"/>
        <v>0</v>
      </c>
      <c r="U59" s="3" cm="1">
        <f t="array" ref="U59">IF($O$1="0,5% ao mês", Juros($L$1,A59,$O$1),IF(A59&lt;$L$1,SUMIF(Juros!$A$2:$A$500,"&gt;="&amp;$L$1,Juros!$B$2:$B$500)*100,SUMIF(Juros!$A$2:$A$500,"&gt;="&amp;A59,Juros!$B$2:$B$500)*100))</f>
        <v>142.54979999999989</v>
      </c>
      <c r="V59" s="5">
        <f t="shared" ca="1" si="7"/>
        <v>0</v>
      </c>
      <c r="W59" s="184">
        <f t="shared" ca="1" si="8"/>
        <v>0</v>
      </c>
    </row>
    <row r="60" spans="1:23" x14ac:dyDescent="0.2">
      <c r="A60" s="191">
        <v>37347</v>
      </c>
      <c r="B60" s="197" t="str">
        <f>IFERROR(MATCH(C60,_xlfn.XLOOKUP(A60,EvolSalarial!$A$2:$A$349,EvolSalarial!$B$2:$Z$349),0),"-")</f>
        <v>-</v>
      </c>
      <c r="C60" s="185">
        <v>0</v>
      </c>
      <c r="D60" s="195">
        <f>IF(B60="-",C60,IF(B60=0, 0, VLOOKUP(A60,EvolSalarialCorreta!$A$2:$Z$217,B60+1,TRUE)))</f>
        <v>0</v>
      </c>
      <c r="E60" s="176">
        <f t="shared" si="0"/>
        <v>0</v>
      </c>
      <c r="F60" s="179">
        <f t="shared" si="9"/>
        <v>0</v>
      </c>
      <c r="G60" s="162">
        <v>0</v>
      </c>
      <c r="H60" s="195">
        <f t="shared" si="10"/>
        <v>0</v>
      </c>
      <c r="I60" s="176">
        <f t="shared" si="1"/>
        <v>0</v>
      </c>
      <c r="J60" s="179">
        <v>0</v>
      </c>
      <c r="K60" s="178">
        <f t="shared" si="2"/>
        <v>0</v>
      </c>
      <c r="L60" s="179">
        <v>0</v>
      </c>
      <c r="M60" s="177">
        <f t="shared" si="3"/>
        <v>0</v>
      </c>
      <c r="N60" s="179">
        <v>0</v>
      </c>
      <c r="O60" s="177">
        <f t="shared" si="4"/>
        <v>0</v>
      </c>
      <c r="P60" s="179">
        <v>0</v>
      </c>
      <c r="Q60" s="180">
        <f t="shared" si="11"/>
        <v>0</v>
      </c>
      <c r="R60" s="183">
        <f t="shared" si="12"/>
        <v>0</v>
      </c>
      <c r="S60" s="9">
        <f t="shared" ca="1" si="13"/>
        <v>3.2984186000000002</v>
      </c>
      <c r="T60" s="6">
        <f t="shared" ca="1" si="6"/>
        <v>0</v>
      </c>
      <c r="U60" s="3" cm="1">
        <f t="array" ref="U60">IF($O$1="0,5% ao mês", Juros($L$1,A60,$O$1),IF(A60&lt;$L$1,SUMIF(Juros!$A$2:$A$500,"&gt;="&amp;$L$1,Juros!$B$2:$B$500)*100,SUMIF(Juros!$A$2:$A$500,"&gt;="&amp;A60,Juros!$B$2:$B$500)*100))</f>
        <v>141.86979999999991</v>
      </c>
      <c r="V60" s="5">
        <f t="shared" ca="1" si="7"/>
        <v>0</v>
      </c>
      <c r="W60" s="184">
        <f t="shared" ca="1" si="8"/>
        <v>0</v>
      </c>
    </row>
    <row r="61" spans="1:23" x14ac:dyDescent="0.2">
      <c r="A61" s="191">
        <v>37377</v>
      </c>
      <c r="B61" s="197" t="str">
        <f>IFERROR(MATCH(C61,_xlfn.XLOOKUP(A61,EvolSalarial!$A$2:$A$349,EvolSalarial!$B$2:$Z$349),0),"-")</f>
        <v>-</v>
      </c>
      <c r="C61" s="185">
        <v>0</v>
      </c>
      <c r="D61" s="195">
        <f>IF(B61="-",C61,IF(B61=0, 0, VLOOKUP(A61,EvolSalarialCorreta!$A$2:$Z$217,B61+1,TRUE)))</f>
        <v>0</v>
      </c>
      <c r="E61" s="176">
        <f t="shared" si="0"/>
        <v>0</v>
      </c>
      <c r="F61" s="179">
        <f t="shared" si="9"/>
        <v>0</v>
      </c>
      <c r="G61" s="162">
        <v>0</v>
      </c>
      <c r="H61" s="195">
        <f t="shared" si="10"/>
        <v>0</v>
      </c>
      <c r="I61" s="176">
        <f t="shared" si="1"/>
        <v>0</v>
      </c>
      <c r="J61" s="179">
        <v>0</v>
      </c>
      <c r="K61" s="178">
        <f t="shared" si="2"/>
        <v>0</v>
      </c>
      <c r="L61" s="179">
        <v>0</v>
      </c>
      <c r="M61" s="177">
        <f t="shared" si="3"/>
        <v>0</v>
      </c>
      <c r="N61" s="179">
        <v>0</v>
      </c>
      <c r="O61" s="177">
        <f t="shared" si="4"/>
        <v>0</v>
      </c>
      <c r="P61" s="179">
        <v>0</v>
      </c>
      <c r="Q61" s="180">
        <f t="shared" si="11"/>
        <v>0</v>
      </c>
      <c r="R61" s="183">
        <f t="shared" si="12"/>
        <v>0</v>
      </c>
      <c r="S61" s="9">
        <f t="shared" ca="1" si="13"/>
        <v>3.2728901000000001</v>
      </c>
      <c r="T61" s="6">
        <f t="shared" ca="1" si="6"/>
        <v>0</v>
      </c>
      <c r="U61" s="3" cm="1">
        <f t="array" ref="U61">IF($O$1="0,5% ao mês", Juros($L$1,A61,$O$1),IF(A61&lt;$L$1,SUMIF(Juros!$A$2:$A$500,"&gt;="&amp;$L$1,Juros!$B$2:$B$500)*100,SUMIF(Juros!$A$2:$A$500,"&gt;="&amp;A61,Juros!$B$2:$B$500)*100))</f>
        <v>141.1297999999999</v>
      </c>
      <c r="V61" s="5">
        <f t="shared" ca="1" si="7"/>
        <v>0</v>
      </c>
      <c r="W61" s="184">
        <f t="shared" ca="1" si="8"/>
        <v>0</v>
      </c>
    </row>
    <row r="62" spans="1:23" x14ac:dyDescent="0.2">
      <c r="A62" s="191">
        <v>37408</v>
      </c>
      <c r="B62" s="197" t="str">
        <f>IFERROR(MATCH(C62,_xlfn.XLOOKUP(A62,EvolSalarial!$A$2:$A$349,EvolSalarial!$B$2:$Z$349),0),"-")</f>
        <v>-</v>
      </c>
      <c r="C62" s="185">
        <v>0</v>
      </c>
      <c r="D62" s="195">
        <f>IF(B62="-",C62,IF(B62=0, 0, VLOOKUP(A62,EvolSalarialCorreta!$A$2:$Z$217,B62+1,TRUE)))</f>
        <v>0</v>
      </c>
      <c r="E62" s="176">
        <f t="shared" si="0"/>
        <v>0</v>
      </c>
      <c r="F62" s="179">
        <f t="shared" si="9"/>
        <v>0</v>
      </c>
      <c r="G62" s="162">
        <v>0</v>
      </c>
      <c r="H62" s="195">
        <f t="shared" si="10"/>
        <v>0</v>
      </c>
      <c r="I62" s="176">
        <f t="shared" si="1"/>
        <v>0</v>
      </c>
      <c r="J62" s="179">
        <v>0</v>
      </c>
      <c r="K62" s="178">
        <f t="shared" si="2"/>
        <v>0</v>
      </c>
      <c r="L62" s="179">
        <v>0</v>
      </c>
      <c r="M62" s="177">
        <f t="shared" si="3"/>
        <v>0</v>
      </c>
      <c r="N62" s="179">
        <v>0</v>
      </c>
      <c r="O62" s="177">
        <f t="shared" si="4"/>
        <v>0</v>
      </c>
      <c r="P62" s="179">
        <v>0</v>
      </c>
      <c r="Q62" s="180">
        <f t="shared" si="11"/>
        <v>0</v>
      </c>
      <c r="R62" s="183">
        <f t="shared" si="12"/>
        <v>0</v>
      </c>
      <c r="S62" s="9">
        <f t="shared" ca="1" si="13"/>
        <v>3.2592013999999998</v>
      </c>
      <c r="T62" s="6">
        <f t="shared" ca="1" si="6"/>
        <v>0</v>
      </c>
      <c r="U62" s="3" cm="1">
        <f t="array" ref="U62">IF($O$1="0,5% ao mês", Juros($L$1,A62,$O$1),IF(A62&lt;$L$1,SUMIF(Juros!$A$2:$A$500,"&gt;="&amp;$L$1,Juros!$B$2:$B$500)*100,SUMIF(Juros!$A$2:$A$500,"&gt;="&amp;A62,Juros!$B$2:$B$500)*100))</f>
        <v>140.41979999999992</v>
      </c>
      <c r="V62" s="5">
        <f t="shared" ca="1" si="7"/>
        <v>0</v>
      </c>
      <c r="W62" s="184">
        <f t="shared" ca="1" si="8"/>
        <v>0</v>
      </c>
    </row>
    <row r="63" spans="1:23" x14ac:dyDescent="0.2">
      <c r="A63" s="191">
        <v>37438</v>
      </c>
      <c r="B63" s="197" t="str">
        <f>IFERROR(MATCH(C63,_xlfn.XLOOKUP(A63,EvolSalarial!$A$2:$A$349,EvolSalarial!$B$2:$Z$349),0),"-")</f>
        <v>-</v>
      </c>
      <c r="C63" s="185">
        <v>0</v>
      </c>
      <c r="D63" s="195">
        <f>IF(B63="-",C63,IF(B63=0, 0, VLOOKUP(A63,EvolSalarialCorreta!$A$2:$Z$217,B63+1,TRUE)))</f>
        <v>0</v>
      </c>
      <c r="E63" s="176">
        <f t="shared" si="0"/>
        <v>0</v>
      </c>
      <c r="F63" s="179">
        <f t="shared" si="9"/>
        <v>0</v>
      </c>
      <c r="G63" s="162">
        <v>0</v>
      </c>
      <c r="H63" s="195">
        <f t="shared" si="10"/>
        <v>0</v>
      </c>
      <c r="I63" s="176">
        <f t="shared" si="1"/>
        <v>0</v>
      </c>
      <c r="J63" s="179">
        <v>0</v>
      </c>
      <c r="K63" s="178">
        <f t="shared" si="2"/>
        <v>0</v>
      </c>
      <c r="L63" s="179">
        <v>0</v>
      </c>
      <c r="M63" s="177">
        <f t="shared" si="3"/>
        <v>0</v>
      </c>
      <c r="N63" s="179">
        <v>0</v>
      </c>
      <c r="O63" s="177">
        <f t="shared" si="4"/>
        <v>0</v>
      </c>
      <c r="P63" s="179">
        <v>0</v>
      </c>
      <c r="Q63" s="180">
        <f t="shared" si="11"/>
        <v>0</v>
      </c>
      <c r="R63" s="183">
        <f t="shared" si="12"/>
        <v>0</v>
      </c>
      <c r="S63" s="9">
        <f t="shared" ca="1" si="13"/>
        <v>3.2484814000000002</v>
      </c>
      <c r="T63" s="6">
        <f t="shared" ca="1" si="6"/>
        <v>0</v>
      </c>
      <c r="U63" s="3" cm="1">
        <f t="array" ref="U63">IF($O$1="0,5% ao mês", Juros($L$1,A63,$O$1),IF(A63&lt;$L$1,SUMIF(Juros!$A$2:$A$500,"&gt;="&amp;$L$1,Juros!$B$2:$B$500)*100,SUMIF(Juros!$A$2:$A$500,"&gt;="&amp;A63,Juros!$B$2:$B$500)*100))</f>
        <v>139.75979999999993</v>
      </c>
      <c r="V63" s="5">
        <f t="shared" ca="1" si="7"/>
        <v>0</v>
      </c>
      <c r="W63" s="184">
        <f t="shared" ca="1" si="8"/>
        <v>0</v>
      </c>
    </row>
    <row r="64" spans="1:23" x14ac:dyDescent="0.2">
      <c r="A64" s="191">
        <v>37469</v>
      </c>
      <c r="B64" s="197" t="str">
        <f>IFERROR(MATCH(C64,_xlfn.XLOOKUP(A64,EvolSalarial!$A$2:$A$349,EvolSalarial!$B$2:$Z$349),0),"-")</f>
        <v>-</v>
      </c>
      <c r="C64" s="185">
        <v>0</v>
      </c>
      <c r="D64" s="195">
        <f>IF(B64="-",C64,IF(B64=0, 0, VLOOKUP(A64,EvolSalarialCorreta!$A$2:$Z$217,B64+1,TRUE)))</f>
        <v>0</v>
      </c>
      <c r="E64" s="176">
        <f t="shared" si="0"/>
        <v>0</v>
      </c>
      <c r="F64" s="179">
        <f t="shared" si="9"/>
        <v>0</v>
      </c>
      <c r="G64" s="162">
        <v>0</v>
      </c>
      <c r="H64" s="195">
        <f t="shared" si="10"/>
        <v>0</v>
      </c>
      <c r="I64" s="176">
        <f t="shared" si="1"/>
        <v>0</v>
      </c>
      <c r="J64" s="179">
        <v>0</v>
      </c>
      <c r="K64" s="178">
        <f t="shared" si="2"/>
        <v>0</v>
      </c>
      <c r="L64" s="179">
        <v>0</v>
      </c>
      <c r="M64" s="177">
        <f t="shared" si="3"/>
        <v>0</v>
      </c>
      <c r="N64" s="179">
        <v>0</v>
      </c>
      <c r="O64" s="177">
        <f t="shared" si="4"/>
        <v>0</v>
      </c>
      <c r="P64" s="179">
        <v>0</v>
      </c>
      <c r="Q64" s="180">
        <f t="shared" si="11"/>
        <v>0</v>
      </c>
      <c r="R64" s="183">
        <f t="shared" si="12"/>
        <v>0</v>
      </c>
      <c r="S64" s="9">
        <f t="shared" ca="1" si="13"/>
        <v>3.2236593</v>
      </c>
      <c r="T64" s="6">
        <f t="shared" ca="1" si="6"/>
        <v>0</v>
      </c>
      <c r="U64" s="3" cm="1">
        <f t="array" ref="U64">IF($O$1="0,5% ao mês", Juros($L$1,A64,$O$1),IF(A64&lt;$L$1,SUMIF(Juros!$A$2:$A$500,"&gt;="&amp;$L$1,Juros!$B$2:$B$500)*100,SUMIF(Juros!$A$2:$A$500,"&gt;="&amp;A64,Juros!$B$2:$B$500)*100))</f>
        <v>138.98979999999995</v>
      </c>
      <c r="V64" s="5">
        <f t="shared" ca="1" si="7"/>
        <v>0</v>
      </c>
      <c r="W64" s="184">
        <f t="shared" ca="1" si="8"/>
        <v>0</v>
      </c>
    </row>
    <row r="65" spans="1:23" x14ac:dyDescent="0.2">
      <c r="A65" s="191">
        <v>37500</v>
      </c>
      <c r="B65" s="197" t="str">
        <f>IFERROR(MATCH(C65,_xlfn.XLOOKUP(A65,EvolSalarial!$A$2:$A$349,EvolSalarial!$B$2:$Z$349),0),"-")</f>
        <v>-</v>
      </c>
      <c r="C65" s="185">
        <v>0</v>
      </c>
      <c r="D65" s="195">
        <f>IF(B65="-",C65,IF(B65=0, 0, VLOOKUP(A65,EvolSalarialCorreta!$A$2:$Z$217,B65+1,TRUE)))</f>
        <v>0</v>
      </c>
      <c r="E65" s="176">
        <f t="shared" si="0"/>
        <v>0</v>
      </c>
      <c r="F65" s="179">
        <f t="shared" si="9"/>
        <v>0</v>
      </c>
      <c r="G65" s="162">
        <v>0</v>
      </c>
      <c r="H65" s="195">
        <f t="shared" si="10"/>
        <v>0</v>
      </c>
      <c r="I65" s="176">
        <f t="shared" si="1"/>
        <v>0</v>
      </c>
      <c r="J65" s="179">
        <v>0</v>
      </c>
      <c r="K65" s="178">
        <f t="shared" si="2"/>
        <v>0</v>
      </c>
      <c r="L65" s="179">
        <v>0</v>
      </c>
      <c r="M65" s="177">
        <f t="shared" si="3"/>
        <v>0</v>
      </c>
      <c r="N65" s="179">
        <v>0</v>
      </c>
      <c r="O65" s="177">
        <f t="shared" si="4"/>
        <v>0</v>
      </c>
      <c r="P65" s="179">
        <v>0</v>
      </c>
      <c r="Q65" s="180">
        <f t="shared" si="11"/>
        <v>0</v>
      </c>
      <c r="R65" s="183">
        <f t="shared" si="12"/>
        <v>0</v>
      </c>
      <c r="S65" s="9">
        <f t="shared" ca="1" si="13"/>
        <v>3.1917418</v>
      </c>
      <c r="T65" s="6">
        <f t="shared" ref="T65:T71" ca="1" si="14">R65*S65</f>
        <v>0</v>
      </c>
      <c r="U65" s="3" cm="1">
        <f t="array" ref="U65">IF($O$1="0,5% ao mês", Juros($L$1,A65,$O$1),IF(A65&lt;$L$1,SUMIF(Juros!$A$2:$A$500,"&gt;="&amp;$L$1,Juros!$B$2:$B$500)*100,SUMIF(Juros!$A$2:$A$500,"&gt;="&amp;A65,Juros!$B$2:$B$500)*100))</f>
        <v>138.23979999999995</v>
      </c>
      <c r="V65" s="5">
        <f t="shared" ca="1" si="7"/>
        <v>0</v>
      </c>
      <c r="W65" s="184">
        <f t="shared" ref="W65:W71" ca="1" si="15">(T65+V65)</f>
        <v>0</v>
      </c>
    </row>
    <row r="66" spans="1:23" x14ac:dyDescent="0.2">
      <c r="A66" s="191">
        <v>37530</v>
      </c>
      <c r="B66" s="197" t="str">
        <f>IFERROR(MATCH(C66,_xlfn.XLOOKUP(A66,EvolSalarial!$A$2:$A$349,EvolSalarial!$B$2:$Z$349),0),"-")</f>
        <v>-</v>
      </c>
      <c r="C66" s="185">
        <v>0</v>
      </c>
      <c r="D66" s="195">
        <f>IF(B66="-",C66,IF(B66=0, 0, VLOOKUP(A66,EvolSalarialCorreta!$A$2:$Z$217,B66+1,TRUE)))</f>
        <v>0</v>
      </c>
      <c r="E66" s="176">
        <f t="shared" si="0"/>
        <v>0</v>
      </c>
      <c r="F66" s="179">
        <f t="shared" si="9"/>
        <v>0</v>
      </c>
      <c r="G66" s="162">
        <v>0</v>
      </c>
      <c r="H66" s="195">
        <f t="shared" si="10"/>
        <v>0</v>
      </c>
      <c r="I66" s="176">
        <f t="shared" si="1"/>
        <v>0</v>
      </c>
      <c r="J66" s="179">
        <v>0</v>
      </c>
      <c r="K66" s="178">
        <f t="shared" si="2"/>
        <v>0</v>
      </c>
      <c r="L66" s="179">
        <v>0</v>
      </c>
      <c r="M66" s="177">
        <f t="shared" si="3"/>
        <v>0</v>
      </c>
      <c r="N66" s="179">
        <v>0</v>
      </c>
      <c r="O66" s="177">
        <f t="shared" si="4"/>
        <v>0</v>
      </c>
      <c r="P66" s="179">
        <v>0</v>
      </c>
      <c r="Q66" s="180">
        <f t="shared" si="11"/>
        <v>0</v>
      </c>
      <c r="R66" s="183">
        <f t="shared" si="12"/>
        <v>0</v>
      </c>
      <c r="S66" s="9">
        <f t="shared" ca="1" si="13"/>
        <v>3.172075</v>
      </c>
      <c r="T66" s="6">
        <f t="shared" ca="1" si="14"/>
        <v>0</v>
      </c>
      <c r="U66" s="3" cm="1">
        <f t="array" ref="U66">IF($O$1="0,5% ao mês", Juros($L$1,A66,$O$1),IF(A66&lt;$L$1,SUMIF(Juros!$A$2:$A$500,"&gt;="&amp;$L$1,Juros!$B$2:$B$500)*100,SUMIF(Juros!$A$2:$A$500,"&gt;="&amp;A66,Juros!$B$2:$B$500)*100))</f>
        <v>137.53979999999993</v>
      </c>
      <c r="V66" s="5">
        <f t="shared" ca="1" si="7"/>
        <v>0</v>
      </c>
      <c r="W66" s="184">
        <f t="shared" ca="1" si="15"/>
        <v>0</v>
      </c>
    </row>
    <row r="67" spans="1:23" x14ac:dyDescent="0.2">
      <c r="A67" s="191">
        <v>37561</v>
      </c>
      <c r="B67" s="197" t="str">
        <f>IFERROR(MATCH(C67,_xlfn.XLOOKUP(A67,EvolSalarial!$A$2:$A$349,EvolSalarial!$B$2:$Z$349),0),"-")</f>
        <v>-</v>
      </c>
      <c r="C67" s="185">
        <v>0</v>
      </c>
      <c r="D67" s="195">
        <f>IF(B67="-",C67,IF(B67=0, 0, VLOOKUP(A67,EvolSalarialCorreta!$A$2:$Z$217,B67+1,TRUE)))</f>
        <v>0</v>
      </c>
      <c r="E67" s="176">
        <f t="shared" si="0"/>
        <v>0</v>
      </c>
      <c r="F67" s="179">
        <f t="shared" si="9"/>
        <v>0</v>
      </c>
      <c r="G67" s="162">
        <v>0</v>
      </c>
      <c r="H67" s="195">
        <f t="shared" si="10"/>
        <v>0</v>
      </c>
      <c r="I67" s="176">
        <f t="shared" si="1"/>
        <v>0</v>
      </c>
      <c r="J67" s="179">
        <v>0</v>
      </c>
      <c r="K67" s="178">
        <f t="shared" si="2"/>
        <v>0</v>
      </c>
      <c r="L67" s="179">
        <v>0</v>
      </c>
      <c r="M67" s="177">
        <f t="shared" si="3"/>
        <v>0</v>
      </c>
      <c r="N67" s="179">
        <v>0</v>
      </c>
      <c r="O67" s="177">
        <f t="shared" si="4"/>
        <v>0</v>
      </c>
      <c r="P67" s="179">
        <v>0</v>
      </c>
      <c r="Q67" s="180">
        <f t="shared" si="11"/>
        <v>0</v>
      </c>
      <c r="R67" s="183">
        <f t="shared" si="12"/>
        <v>0</v>
      </c>
      <c r="S67" s="9">
        <f t="shared" ca="1" si="13"/>
        <v>3.1437808999999999</v>
      </c>
      <c r="T67" s="6">
        <f t="shared" ca="1" si="14"/>
        <v>0</v>
      </c>
      <c r="U67" s="3" cm="1">
        <f t="array" ref="U67">IF($O$1="0,5% ao mês", Juros($L$1,A67,$O$1),IF(A67&lt;$L$1,SUMIF(Juros!$A$2:$A$500,"&gt;="&amp;$L$1,Juros!$B$2:$B$500)*100,SUMIF(Juros!$A$2:$A$500,"&gt;="&amp;A67,Juros!$B$2:$B$500)*100))</f>
        <v>136.75979999999996</v>
      </c>
      <c r="V67" s="5">
        <f t="shared" ca="1" si="7"/>
        <v>0</v>
      </c>
      <c r="W67" s="184">
        <f t="shared" ca="1" si="15"/>
        <v>0</v>
      </c>
    </row>
    <row r="68" spans="1:23" x14ac:dyDescent="0.2">
      <c r="A68" s="191">
        <v>37591</v>
      </c>
      <c r="B68" s="197" t="str">
        <f>IFERROR(MATCH(C68,_xlfn.XLOOKUP(A68,EvolSalarial!$A$2:$A$349,EvolSalarial!$B$2:$Z$349),0),"-")</f>
        <v>-</v>
      </c>
      <c r="C68" s="185">
        <v>0</v>
      </c>
      <c r="D68" s="195">
        <f>IF(B68="-",C68,IF(B68=0, 0, VLOOKUP(A68,EvolSalarialCorreta!$A$2:$Z$217,B68+1,TRUE)))</f>
        <v>0</v>
      </c>
      <c r="E68" s="176">
        <f t="shared" si="0"/>
        <v>0</v>
      </c>
      <c r="F68" s="179">
        <f t="shared" si="9"/>
        <v>0</v>
      </c>
      <c r="G68" s="162">
        <v>0</v>
      </c>
      <c r="H68" s="195">
        <f t="shared" si="10"/>
        <v>0</v>
      </c>
      <c r="I68" s="176">
        <f t="shared" si="1"/>
        <v>0</v>
      </c>
      <c r="J68" s="179">
        <v>0</v>
      </c>
      <c r="K68" s="178">
        <f t="shared" si="2"/>
        <v>0</v>
      </c>
      <c r="L68" s="179">
        <v>0</v>
      </c>
      <c r="M68" s="177">
        <f t="shared" si="3"/>
        <v>0</v>
      </c>
      <c r="N68" s="179">
        <v>0</v>
      </c>
      <c r="O68" s="177">
        <f t="shared" si="4"/>
        <v>0</v>
      </c>
      <c r="P68" s="179">
        <v>0</v>
      </c>
      <c r="Q68" s="180">
        <f t="shared" si="11"/>
        <v>0</v>
      </c>
      <c r="R68" s="183">
        <f t="shared" si="12"/>
        <v>0</v>
      </c>
      <c r="S68" s="9">
        <f t="shared" ca="1" si="13"/>
        <v>3.0797227</v>
      </c>
      <c r="T68" s="6">
        <f t="shared" ca="1" si="14"/>
        <v>0</v>
      </c>
      <c r="U68" s="3" cm="1">
        <f t="array" ref="U68">IF($O$1="0,5% ao mês", Juros($L$1,A68,$O$1),IF(A68&lt;$L$1,SUMIF(Juros!$A$2:$A$500,"&gt;="&amp;$L$1,Juros!$B$2:$B$500)*100,SUMIF(Juros!$A$2:$A$500,"&gt;="&amp;A68,Juros!$B$2:$B$500)*100))</f>
        <v>135.98979999999992</v>
      </c>
      <c r="V68" s="5">
        <f t="shared" ca="1" si="7"/>
        <v>0</v>
      </c>
      <c r="W68" s="184">
        <f t="shared" ca="1" si="15"/>
        <v>0</v>
      </c>
    </row>
    <row r="69" spans="1:23" x14ac:dyDescent="0.2">
      <c r="A69" s="191">
        <v>37622</v>
      </c>
      <c r="B69" s="197" t="str">
        <f>IFERROR(MATCH(C69,_xlfn.XLOOKUP(A69,EvolSalarial!$A$2:$A$349,EvolSalarial!$B$2:$Z$349),0),"-")</f>
        <v>-</v>
      </c>
      <c r="C69" s="185">
        <v>0</v>
      </c>
      <c r="D69" s="195">
        <f>IF(B69="-",C69,IF(B69=0, 0, VLOOKUP(A69,EvolSalarialCorreta!$A$2:$Z$217,B69+1,TRUE)))</f>
        <v>0</v>
      </c>
      <c r="E69" s="176">
        <f t="shared" ref="E69:E91" si="16">D69-C69</f>
        <v>0</v>
      </c>
      <c r="F69" s="179">
        <f t="shared" si="9"/>
        <v>0</v>
      </c>
      <c r="G69" s="162">
        <v>0</v>
      </c>
      <c r="H69" s="195">
        <f t="shared" si="10"/>
        <v>0</v>
      </c>
      <c r="I69" s="176">
        <f t="shared" ref="I69:I91" si="17">H69-G69</f>
        <v>0</v>
      </c>
      <c r="J69" s="179">
        <v>0</v>
      </c>
      <c r="K69" s="178">
        <f t="shared" ref="K69:K91" si="18">E69*J69</f>
        <v>0</v>
      </c>
      <c r="L69" s="179">
        <v>0</v>
      </c>
      <c r="M69" s="177">
        <f t="shared" ref="M69:M91" si="19">E69*L69</f>
        <v>0</v>
      </c>
      <c r="N69" s="179">
        <v>0</v>
      </c>
      <c r="O69" s="177">
        <f t="shared" ref="O69:O91" si="20">E69*N69</f>
        <v>0</v>
      </c>
      <c r="P69" s="179">
        <v>0</v>
      </c>
      <c r="Q69" s="180">
        <f t="shared" si="11"/>
        <v>0</v>
      </c>
      <c r="R69" s="183">
        <f t="shared" si="12"/>
        <v>0</v>
      </c>
      <c r="S69" s="9">
        <f t="shared" ca="1" si="13"/>
        <v>2.9885712999999998</v>
      </c>
      <c r="T69" s="6">
        <f t="shared" ca="1" si="14"/>
        <v>0</v>
      </c>
      <c r="U69" s="3" cm="1">
        <f t="array" ref="U69">IF($O$1="0,5% ao mês", Juros($L$1,A69,$O$1),IF(A69&lt;$L$1,SUMIF(Juros!$A$2:$A$500,"&gt;="&amp;$L$1,Juros!$B$2:$B$500)*100,SUMIF(Juros!$A$2:$A$500,"&gt;="&amp;A69,Juros!$B$2:$B$500)*100))</f>
        <v>135.12979999999993</v>
      </c>
      <c r="V69" s="5">
        <f t="shared" ca="1" si="7"/>
        <v>0</v>
      </c>
      <c r="W69" s="184">
        <f t="shared" ca="1" si="15"/>
        <v>0</v>
      </c>
    </row>
    <row r="70" spans="1:23" x14ac:dyDescent="0.2">
      <c r="A70" s="191">
        <v>37653</v>
      </c>
      <c r="B70" s="197" t="str">
        <f>IFERROR(MATCH(C70,_xlfn.XLOOKUP(A70,EvolSalarial!$A$2:$A$349,EvolSalarial!$B$2:$Z$349),0),"-")</f>
        <v>-</v>
      </c>
      <c r="C70" s="185">
        <v>0</v>
      </c>
      <c r="D70" s="195">
        <f>IF(B70="-",C70,IF(B70=0, 0, VLOOKUP(A70,EvolSalarialCorreta!$A$2:$Z$217,B70+1,TRUE)))</f>
        <v>0</v>
      </c>
      <c r="E70" s="176">
        <f t="shared" si="16"/>
        <v>0</v>
      </c>
      <c r="F70" s="179">
        <f t="shared" si="9"/>
        <v>0</v>
      </c>
      <c r="G70" s="162">
        <v>0</v>
      </c>
      <c r="H70" s="195">
        <f t="shared" si="10"/>
        <v>0</v>
      </c>
      <c r="I70" s="176">
        <f t="shared" si="17"/>
        <v>0</v>
      </c>
      <c r="J70" s="179">
        <v>0</v>
      </c>
      <c r="K70" s="178">
        <f t="shared" si="18"/>
        <v>0</v>
      </c>
      <c r="L70" s="179">
        <v>0</v>
      </c>
      <c r="M70" s="177">
        <f t="shared" si="19"/>
        <v>0</v>
      </c>
      <c r="N70" s="179">
        <v>0</v>
      </c>
      <c r="O70" s="177">
        <f t="shared" si="20"/>
        <v>0</v>
      </c>
      <c r="P70" s="179">
        <v>0</v>
      </c>
      <c r="Q70" s="180">
        <f t="shared" si="11"/>
        <v>0</v>
      </c>
      <c r="R70" s="183">
        <f t="shared" si="12"/>
        <v>0</v>
      </c>
      <c r="S70" s="9">
        <f t="shared" ca="1" si="13"/>
        <v>2.9305465000000002</v>
      </c>
      <c r="T70" s="6">
        <f t="shared" ca="1" si="14"/>
        <v>0</v>
      </c>
      <c r="U70" s="3" cm="1">
        <f t="array" ref="U70">IF($O$1="0,5% ao mês", Juros($L$1,A70,$O$1),IF(A70&lt;$L$1,SUMIF(Juros!$A$2:$A$500,"&gt;="&amp;$L$1,Juros!$B$2:$B$500)*100,SUMIF(Juros!$A$2:$A$500,"&gt;="&amp;A70,Juros!$B$2:$B$500)*100))</f>
        <v>134.13979999999992</v>
      </c>
      <c r="V70" s="5">
        <f t="shared" ca="1" si="7"/>
        <v>0</v>
      </c>
      <c r="W70" s="184">
        <f t="shared" ca="1" si="15"/>
        <v>0</v>
      </c>
    </row>
    <row r="71" spans="1:23" x14ac:dyDescent="0.2">
      <c r="A71" s="191">
        <v>37681</v>
      </c>
      <c r="B71" s="197" t="str">
        <f>IFERROR(MATCH(C71,_xlfn.XLOOKUP(A71,EvolSalarial!$A$2:$A$349,EvolSalarial!$B$2:$Z$349),0),"-")</f>
        <v>-</v>
      </c>
      <c r="C71" s="185">
        <v>0</v>
      </c>
      <c r="D71" s="195">
        <f>IF(B71="-",C71,IF(B71=0, 0, VLOOKUP(A71,EvolSalarialCorreta!$A$2:$Z$217,B71+1,TRUE)))</f>
        <v>0</v>
      </c>
      <c r="E71" s="176">
        <f t="shared" si="16"/>
        <v>0</v>
      </c>
      <c r="F71" s="179">
        <f t="shared" si="9"/>
        <v>0</v>
      </c>
      <c r="G71" s="162">
        <v>0</v>
      </c>
      <c r="H71" s="195">
        <f t="shared" si="10"/>
        <v>0</v>
      </c>
      <c r="I71" s="176">
        <f t="shared" si="17"/>
        <v>0</v>
      </c>
      <c r="J71" s="179">
        <v>0</v>
      </c>
      <c r="K71" s="178">
        <f t="shared" si="18"/>
        <v>0</v>
      </c>
      <c r="L71" s="179">
        <v>0</v>
      </c>
      <c r="M71" s="177">
        <f t="shared" si="19"/>
        <v>0</v>
      </c>
      <c r="N71" s="179">
        <v>0</v>
      </c>
      <c r="O71" s="177">
        <f t="shared" si="20"/>
        <v>0</v>
      </c>
      <c r="P71" s="179">
        <v>0</v>
      </c>
      <c r="Q71" s="180">
        <f t="shared" si="11"/>
        <v>0</v>
      </c>
      <c r="R71" s="183">
        <f t="shared" si="12"/>
        <v>0</v>
      </c>
      <c r="S71" s="9">
        <f t="shared" ca="1" si="13"/>
        <v>2.8677429000000001</v>
      </c>
      <c r="T71" s="6">
        <f t="shared" ca="1" si="14"/>
        <v>0</v>
      </c>
      <c r="U71" s="3" cm="1">
        <f t="array" ref="U71">IF($O$1="0,5% ao mês", Juros($L$1,A71,$O$1),IF(A71&lt;$L$1,SUMIF(Juros!$A$2:$A$500,"&gt;="&amp;$L$1,Juros!$B$2:$B$500)*100,SUMIF(Juros!$A$2:$A$500,"&gt;="&amp;A71,Juros!$B$2:$B$500)*100))</f>
        <v>133.2297999999999</v>
      </c>
      <c r="V71" s="5">
        <f t="shared" ca="1" si="7"/>
        <v>0</v>
      </c>
      <c r="W71" s="184">
        <f t="shared" ca="1" si="15"/>
        <v>0</v>
      </c>
    </row>
    <row r="72" spans="1:23" x14ac:dyDescent="0.2">
      <c r="A72" s="191">
        <v>37712</v>
      </c>
      <c r="B72" s="197" t="str">
        <f>IFERROR(MATCH(C72,_xlfn.XLOOKUP(A72,EvolSalarial!$A$2:$A$349,EvolSalarial!$B$2:$Z$349),0),"-")</f>
        <v>-</v>
      </c>
      <c r="C72" s="185">
        <v>0</v>
      </c>
      <c r="D72" s="195">
        <f>IF(B72="-",C72,IF(B72=0, 0, VLOOKUP(A72,EvolSalarialCorreta!$A$2:$Z$217,B72+1,TRUE)))</f>
        <v>0</v>
      </c>
      <c r="E72" s="176">
        <f t="shared" si="16"/>
        <v>0</v>
      </c>
      <c r="F72" s="179">
        <f t="shared" si="9"/>
        <v>0</v>
      </c>
      <c r="G72" s="162">
        <v>0</v>
      </c>
      <c r="H72" s="195">
        <f t="shared" si="10"/>
        <v>0</v>
      </c>
      <c r="I72" s="176">
        <f t="shared" si="17"/>
        <v>0</v>
      </c>
      <c r="J72" s="179">
        <v>0</v>
      </c>
      <c r="K72" s="178">
        <f t="shared" si="18"/>
        <v>0</v>
      </c>
      <c r="L72" s="179">
        <v>0</v>
      </c>
      <c r="M72" s="177">
        <f t="shared" si="19"/>
        <v>0</v>
      </c>
      <c r="N72" s="179">
        <v>0</v>
      </c>
      <c r="O72" s="177">
        <f t="shared" si="20"/>
        <v>0</v>
      </c>
      <c r="P72" s="179">
        <v>0</v>
      </c>
      <c r="Q72" s="180">
        <f t="shared" si="11"/>
        <v>0</v>
      </c>
      <c r="R72" s="183">
        <f t="shared" si="12"/>
        <v>0</v>
      </c>
      <c r="S72" s="9">
        <f t="shared" ca="1" si="13"/>
        <v>2.8354191000000002</v>
      </c>
      <c r="T72" s="6">
        <f ca="1">R72*S72</f>
        <v>0</v>
      </c>
      <c r="U72" s="3" cm="1">
        <f t="array" ref="U72">IF($O$1="0,5% ao mês", Juros($L$1,A72,$O$1),IF(A72&lt;$L$1,SUMIF(Juros!$A$2:$A$500,"&gt;="&amp;$L$1,Juros!$B$2:$B$500)*100,SUMIF(Juros!$A$2:$A$500,"&gt;="&amp;A72,Juros!$B$2:$B$500)*100))</f>
        <v>132.34979999999993</v>
      </c>
      <c r="V72" s="5">
        <f t="shared" ca="1" si="7"/>
        <v>0</v>
      </c>
      <c r="W72" s="184">
        <f ca="1">(T72+V72)</f>
        <v>0</v>
      </c>
    </row>
    <row r="73" spans="1:23" x14ac:dyDescent="0.2">
      <c r="A73" s="191">
        <v>37742</v>
      </c>
      <c r="B73" s="197" t="str">
        <f>IFERROR(MATCH(C73,_xlfn.XLOOKUP(A73,EvolSalarial!$A$2:$A$349,EvolSalarial!$B$2:$Z$349),0),"-")</f>
        <v>-</v>
      </c>
      <c r="C73" s="185">
        <v>0</v>
      </c>
      <c r="D73" s="195">
        <f>IF(B73="-",C73,IF(B73=0, 0, VLOOKUP(A73,EvolSalarialCorreta!$A$2:$Z$217,B73+1,TRUE)))</f>
        <v>0</v>
      </c>
      <c r="E73" s="176">
        <f t="shared" si="16"/>
        <v>0</v>
      </c>
      <c r="F73" s="179">
        <f t="shared" si="9"/>
        <v>0</v>
      </c>
      <c r="G73" s="162">
        <v>0</v>
      </c>
      <c r="H73" s="195">
        <f t="shared" si="10"/>
        <v>0</v>
      </c>
      <c r="I73" s="176">
        <f t="shared" si="17"/>
        <v>0</v>
      </c>
      <c r="J73" s="179">
        <v>0</v>
      </c>
      <c r="K73" s="178">
        <f t="shared" si="18"/>
        <v>0</v>
      </c>
      <c r="L73" s="179">
        <v>0</v>
      </c>
      <c r="M73" s="177">
        <f t="shared" si="19"/>
        <v>0</v>
      </c>
      <c r="N73" s="179">
        <v>0</v>
      </c>
      <c r="O73" s="177">
        <f t="shared" si="20"/>
        <v>0</v>
      </c>
      <c r="P73" s="179">
        <v>0</v>
      </c>
      <c r="Q73" s="180">
        <f t="shared" si="11"/>
        <v>0</v>
      </c>
      <c r="R73" s="183">
        <f t="shared" si="12"/>
        <v>0</v>
      </c>
      <c r="S73" s="9">
        <f t="shared" ref="S73:S91" ca="1" si="21">AtualMon(A73,$L$2)</f>
        <v>2.8034596999999999</v>
      </c>
      <c r="T73" s="5">
        <f ca="1">R73*S73</f>
        <v>0</v>
      </c>
      <c r="U73" s="3" cm="1">
        <f t="array" ref="U73">IF($O$1="0,5% ao mês", Juros($L$1,A73,$O$1),IF(A73&lt;$L$1,SUMIF(Juros!$A$2:$A$500,"&gt;="&amp;$L$1,Juros!$B$2:$B$500)*100,SUMIF(Juros!$A$2:$A$500,"&gt;="&amp;A73,Juros!$B$2:$B$500)*100))</f>
        <v>131.42979999999994</v>
      </c>
      <c r="V73" s="5">
        <f t="shared" ref="V73:V91" ca="1" si="22">(T73*U73/100)</f>
        <v>0</v>
      </c>
      <c r="W73" s="184">
        <f ca="1">(T73+V73)</f>
        <v>0</v>
      </c>
    </row>
    <row r="74" spans="1:23" x14ac:dyDescent="0.2">
      <c r="A74" s="191">
        <v>37773</v>
      </c>
      <c r="B74" s="197" t="str">
        <f>IFERROR(MATCH(C74,_xlfn.XLOOKUP(A74,EvolSalarial!$A$2:$A$349,EvolSalarial!$B$2:$Z$349),0),"-")</f>
        <v>-</v>
      </c>
      <c r="C74" s="185">
        <v>0</v>
      </c>
      <c r="D74" s="195">
        <f>IF(B74="-",C74,IF(B74=0, 0, VLOOKUP(A74,EvolSalarialCorreta!$A$2:$Z$217,B74+1,TRUE)))</f>
        <v>0</v>
      </c>
      <c r="E74" s="176">
        <f t="shared" si="16"/>
        <v>0</v>
      </c>
      <c r="F74" s="179">
        <f t="shared" si="9"/>
        <v>0</v>
      </c>
      <c r="G74" s="162">
        <v>0</v>
      </c>
      <c r="H74" s="195">
        <f t="shared" si="10"/>
        <v>0</v>
      </c>
      <c r="I74" s="176">
        <f t="shared" si="17"/>
        <v>0</v>
      </c>
      <c r="J74" s="179">
        <v>0</v>
      </c>
      <c r="K74" s="178">
        <f t="shared" si="18"/>
        <v>0</v>
      </c>
      <c r="L74" s="179">
        <v>0</v>
      </c>
      <c r="M74" s="177">
        <f t="shared" si="19"/>
        <v>0</v>
      </c>
      <c r="N74" s="179">
        <v>0</v>
      </c>
      <c r="O74" s="177">
        <f t="shared" si="20"/>
        <v>0</v>
      </c>
      <c r="P74" s="179">
        <v>0</v>
      </c>
      <c r="Q74" s="180">
        <f t="shared" si="11"/>
        <v>0</v>
      </c>
      <c r="R74" s="183">
        <f t="shared" si="12"/>
        <v>0</v>
      </c>
      <c r="S74" s="9">
        <f t="shared" ca="1" si="21"/>
        <v>2.7798311</v>
      </c>
      <c r="T74" s="6">
        <f ca="1">R74*S74</f>
        <v>0</v>
      </c>
      <c r="U74" s="3" cm="1">
        <f t="array" ref="U74">IF($O$1="0,5% ao mês", Juros($L$1,A74,$O$1),IF(A74&lt;$L$1,SUMIF(Juros!$A$2:$A$500,"&gt;="&amp;$L$1,Juros!$B$2:$B$500)*100,SUMIF(Juros!$A$2:$A$500,"&gt;="&amp;A74,Juros!$B$2:$B$500)*100))</f>
        <v>130.45979999999994</v>
      </c>
      <c r="V74" s="5">
        <f t="shared" ca="1" si="22"/>
        <v>0</v>
      </c>
      <c r="W74" s="184">
        <f ca="1">(T74+V74)</f>
        <v>0</v>
      </c>
    </row>
    <row r="75" spans="1:23" x14ac:dyDescent="0.2">
      <c r="A75" s="191">
        <v>37803</v>
      </c>
      <c r="B75" s="197" t="str">
        <f>IFERROR(MATCH(C75,_xlfn.XLOOKUP(A75,EvolSalarial!$A$2:$A$349,EvolSalarial!$B$2:$Z$349),0),"-")</f>
        <v>-</v>
      </c>
      <c r="C75" s="185">
        <v>0</v>
      </c>
      <c r="D75" s="195">
        <f>IF(B75="-",C75,IF(B75=0, 0, VLOOKUP(A75,EvolSalarialCorreta!$A$2:$Z$217,B75+1,TRUE)))</f>
        <v>0</v>
      </c>
      <c r="E75" s="176">
        <f t="shared" si="16"/>
        <v>0</v>
      </c>
      <c r="F75" s="179">
        <f t="shared" ref="F75:F91" si="23">IFERROR(G75/C75,0)</f>
        <v>0</v>
      </c>
      <c r="G75" s="162">
        <v>0</v>
      </c>
      <c r="H75" s="195">
        <f t="shared" ref="H75:H91" si="24">D75*F75</f>
        <v>0</v>
      </c>
      <c r="I75" s="176">
        <f t="shared" si="17"/>
        <v>0</v>
      </c>
      <c r="J75" s="179">
        <v>0</v>
      </c>
      <c r="K75" s="178">
        <f t="shared" si="18"/>
        <v>0</v>
      </c>
      <c r="L75" s="179">
        <v>0</v>
      </c>
      <c r="M75" s="177">
        <f t="shared" si="19"/>
        <v>0</v>
      </c>
      <c r="N75" s="179">
        <v>0</v>
      </c>
      <c r="O75" s="177">
        <f t="shared" si="20"/>
        <v>0</v>
      </c>
      <c r="P75" s="179">
        <v>0</v>
      </c>
      <c r="Q75" s="180">
        <f t="shared" ref="Q75:Q91" si="25">IF(MONTH(A75)=12,E75+I75,E75*P75)</f>
        <v>0</v>
      </c>
      <c r="R75" s="183">
        <f t="shared" ref="R75:R91" si="26">SUM(E75+I75+K75+M75+O75+Q75)</f>
        <v>0</v>
      </c>
      <c r="S75" s="9">
        <f t="shared" ca="1" si="21"/>
        <v>2.7737289000000001</v>
      </c>
      <c r="T75" s="5">
        <f ca="1">R75*S75</f>
        <v>0</v>
      </c>
      <c r="U75" s="3" cm="1">
        <f t="array" ref="U75">IF($O$1="0,5% ao mês", Juros($L$1,A75,$O$1),IF(A75&lt;$L$1,SUMIF(Juros!$A$2:$A$500,"&gt;="&amp;$L$1,Juros!$B$2:$B$500)*100,SUMIF(Juros!$A$2:$A$500,"&gt;="&amp;A75,Juros!$B$2:$B$500)*100))</f>
        <v>129.53979999999993</v>
      </c>
      <c r="V75" s="5">
        <f t="shared" ca="1" si="22"/>
        <v>0</v>
      </c>
      <c r="W75" s="184">
        <f ca="1">(T75+V75)</f>
        <v>0</v>
      </c>
    </row>
    <row r="76" spans="1:23" x14ac:dyDescent="0.2">
      <c r="A76" s="191">
        <v>37834</v>
      </c>
      <c r="B76" s="197" t="str">
        <f>IFERROR(MATCH(C76,_xlfn.XLOOKUP(A76,EvolSalarial!$A$2:$A$349,EvolSalarial!$B$2:$Z$349),0),"-")</f>
        <v>-</v>
      </c>
      <c r="C76" s="185">
        <v>0</v>
      </c>
      <c r="D76" s="195">
        <f>IF(B76="-",C76,IF(B76=0, 0, VLOOKUP(A76,EvolSalarialCorreta!$A$2:$Z$217,B76+1,TRUE)))</f>
        <v>0</v>
      </c>
      <c r="E76" s="176">
        <f t="shared" si="16"/>
        <v>0</v>
      </c>
      <c r="F76" s="179">
        <f t="shared" si="23"/>
        <v>0</v>
      </c>
      <c r="G76" s="162">
        <v>0</v>
      </c>
      <c r="H76" s="195">
        <f t="shared" si="24"/>
        <v>0</v>
      </c>
      <c r="I76" s="176">
        <f t="shared" si="17"/>
        <v>0</v>
      </c>
      <c r="J76" s="179">
        <v>0</v>
      </c>
      <c r="K76" s="178">
        <f t="shared" si="18"/>
        <v>0</v>
      </c>
      <c r="L76" s="179">
        <v>0</v>
      </c>
      <c r="M76" s="177">
        <f t="shared" si="19"/>
        <v>0</v>
      </c>
      <c r="N76" s="179">
        <v>0</v>
      </c>
      <c r="O76" s="177">
        <f t="shared" si="20"/>
        <v>0</v>
      </c>
      <c r="P76" s="179">
        <v>0</v>
      </c>
      <c r="Q76" s="180">
        <f t="shared" si="25"/>
        <v>0</v>
      </c>
      <c r="R76" s="183">
        <f t="shared" si="26"/>
        <v>0</v>
      </c>
      <c r="S76" s="9">
        <f t="shared" ca="1" si="21"/>
        <v>2.7787305999999998</v>
      </c>
      <c r="T76" s="5">
        <f t="shared" ref="T76:T91" ca="1" si="27">R76*S76</f>
        <v>0</v>
      </c>
      <c r="U76" s="3" cm="1">
        <f t="array" ref="U76">IF($O$1="0,5% ao mês", Juros($L$1,A76,$O$1),IF(A76&lt;$L$1,SUMIF(Juros!$A$2:$A$500,"&gt;="&amp;$L$1,Juros!$B$2:$B$500)*100,SUMIF(Juros!$A$2:$A$500,"&gt;="&amp;A76,Juros!$B$2:$B$500)*100))</f>
        <v>128.48979999999997</v>
      </c>
      <c r="V76" s="5">
        <f t="shared" ca="1" si="22"/>
        <v>0</v>
      </c>
      <c r="W76" s="184">
        <f t="shared" ref="W76:W91" ca="1" si="28">(T76+V76)</f>
        <v>0</v>
      </c>
    </row>
    <row r="77" spans="1:23" x14ac:dyDescent="0.2">
      <c r="A77" s="191">
        <v>37865</v>
      </c>
      <c r="B77" s="197" t="str">
        <f>IFERROR(MATCH(C77,_xlfn.XLOOKUP(A77,EvolSalarial!$A$2:$A$349,EvolSalarial!$B$2:$Z$349),0),"-")</f>
        <v>-</v>
      </c>
      <c r="C77" s="185">
        <v>0</v>
      </c>
      <c r="D77" s="195">
        <f>IF(B77="-",C77,IF(B77=0, 0, VLOOKUP(A77,EvolSalarialCorreta!$A$2:$Z$217,B77+1,TRUE)))</f>
        <v>0</v>
      </c>
      <c r="E77" s="176">
        <f t="shared" si="16"/>
        <v>0</v>
      </c>
      <c r="F77" s="179">
        <f t="shared" si="23"/>
        <v>0</v>
      </c>
      <c r="G77" s="162">
        <v>0</v>
      </c>
      <c r="H77" s="195">
        <f t="shared" si="24"/>
        <v>0</v>
      </c>
      <c r="I77" s="176">
        <f t="shared" si="17"/>
        <v>0</v>
      </c>
      <c r="J77" s="179">
        <v>0</v>
      </c>
      <c r="K77" s="178">
        <f t="shared" si="18"/>
        <v>0</v>
      </c>
      <c r="L77" s="179">
        <v>0</v>
      </c>
      <c r="M77" s="177">
        <f t="shared" si="19"/>
        <v>0</v>
      </c>
      <c r="N77" s="179">
        <v>0</v>
      </c>
      <c r="O77" s="177">
        <f t="shared" si="20"/>
        <v>0</v>
      </c>
      <c r="P77" s="179">
        <v>0</v>
      </c>
      <c r="Q77" s="180">
        <f t="shared" si="25"/>
        <v>0</v>
      </c>
      <c r="R77" s="183">
        <f t="shared" si="26"/>
        <v>0</v>
      </c>
      <c r="S77" s="9">
        <f t="shared" ca="1" si="21"/>
        <v>2.7712482999999999</v>
      </c>
      <c r="T77" s="5">
        <f t="shared" ca="1" si="27"/>
        <v>0</v>
      </c>
      <c r="U77" s="3" cm="1">
        <f t="array" ref="U77">IF($O$1="0,5% ao mês", Juros($L$1,A77,$O$1),IF(A77&lt;$L$1,SUMIF(Juros!$A$2:$A$500,"&gt;="&amp;$L$1,Juros!$B$2:$B$500)*100,SUMIF(Juros!$A$2:$A$500,"&gt;="&amp;A77,Juros!$B$2:$B$500)*100))</f>
        <v>127.57979999999998</v>
      </c>
      <c r="V77" s="5">
        <f t="shared" ca="1" si="22"/>
        <v>0</v>
      </c>
      <c r="W77" s="184">
        <f t="shared" ca="1" si="28"/>
        <v>0</v>
      </c>
    </row>
    <row r="78" spans="1:23" x14ac:dyDescent="0.2">
      <c r="A78" s="191">
        <v>37895</v>
      </c>
      <c r="B78" s="197" t="str">
        <f>IFERROR(MATCH(C78,_xlfn.XLOOKUP(A78,EvolSalarial!$A$2:$A$349,EvolSalarial!$B$2:$Z$349),0),"-")</f>
        <v>-</v>
      </c>
      <c r="C78" s="185">
        <v>0</v>
      </c>
      <c r="D78" s="195">
        <f>IF(B78="-",C78,IF(B78=0, 0, VLOOKUP(A78,EvolSalarialCorreta!$A$2:$Z$217,B78+1,TRUE)))</f>
        <v>0</v>
      </c>
      <c r="E78" s="176">
        <f t="shared" si="16"/>
        <v>0</v>
      </c>
      <c r="F78" s="179">
        <f t="shared" si="23"/>
        <v>0</v>
      </c>
      <c r="G78" s="162">
        <v>0</v>
      </c>
      <c r="H78" s="195">
        <f t="shared" si="24"/>
        <v>0</v>
      </c>
      <c r="I78" s="176">
        <f t="shared" si="17"/>
        <v>0</v>
      </c>
      <c r="J78" s="179">
        <v>0</v>
      </c>
      <c r="K78" s="178">
        <f t="shared" si="18"/>
        <v>0</v>
      </c>
      <c r="L78" s="179">
        <v>0</v>
      </c>
      <c r="M78" s="177">
        <f t="shared" si="19"/>
        <v>0</v>
      </c>
      <c r="N78" s="179">
        <v>0</v>
      </c>
      <c r="O78" s="177">
        <f t="shared" si="20"/>
        <v>0</v>
      </c>
      <c r="P78" s="179">
        <v>0</v>
      </c>
      <c r="Q78" s="180">
        <f t="shared" si="25"/>
        <v>0</v>
      </c>
      <c r="R78" s="183">
        <f t="shared" si="26"/>
        <v>0</v>
      </c>
      <c r="S78" s="9">
        <f t="shared" ca="1" si="21"/>
        <v>2.7555417000000002</v>
      </c>
      <c r="T78" s="5">
        <f t="shared" ca="1" si="27"/>
        <v>0</v>
      </c>
      <c r="U78" s="3" cm="1">
        <f t="array" ref="U78">IF($O$1="0,5% ao mês", Juros($L$1,A78,$O$1),IF(A78&lt;$L$1,SUMIF(Juros!$A$2:$A$500,"&gt;="&amp;$L$1,Juros!$B$2:$B$500)*100,SUMIF(Juros!$A$2:$A$500,"&gt;="&amp;A78,Juros!$B$2:$B$500)*100))</f>
        <v>126.73979999999996</v>
      </c>
      <c r="V78" s="5">
        <f t="shared" ca="1" si="22"/>
        <v>0</v>
      </c>
      <c r="W78" s="184">
        <f t="shared" ca="1" si="28"/>
        <v>0</v>
      </c>
    </row>
    <row r="79" spans="1:23" x14ac:dyDescent="0.2">
      <c r="A79" s="191">
        <v>37926</v>
      </c>
      <c r="B79" s="197" t="str">
        <f>IFERROR(MATCH(C79,_xlfn.XLOOKUP(A79,EvolSalarial!$A$2:$A$349,EvolSalarial!$B$2:$Z$349),0),"-")</f>
        <v>-</v>
      </c>
      <c r="C79" s="185">
        <v>0</v>
      </c>
      <c r="D79" s="195">
        <f>IF(B79="-",C79,IF(B79=0, 0, VLOOKUP(A79,EvolSalarialCorreta!$A$2:$Z$217,B79+1,TRUE)))</f>
        <v>0</v>
      </c>
      <c r="E79" s="176">
        <f t="shared" si="16"/>
        <v>0</v>
      </c>
      <c r="F79" s="179">
        <f t="shared" si="23"/>
        <v>0</v>
      </c>
      <c r="G79" s="162">
        <v>0</v>
      </c>
      <c r="H79" s="195">
        <f t="shared" si="24"/>
        <v>0</v>
      </c>
      <c r="I79" s="176">
        <f t="shared" si="17"/>
        <v>0</v>
      </c>
      <c r="J79" s="179">
        <v>0</v>
      </c>
      <c r="K79" s="178">
        <f t="shared" si="18"/>
        <v>0</v>
      </c>
      <c r="L79" s="179">
        <v>0</v>
      </c>
      <c r="M79" s="177">
        <f t="shared" si="19"/>
        <v>0</v>
      </c>
      <c r="N79" s="179">
        <v>0</v>
      </c>
      <c r="O79" s="177">
        <f t="shared" si="20"/>
        <v>0</v>
      </c>
      <c r="P79" s="179">
        <v>0</v>
      </c>
      <c r="Q79" s="180">
        <f t="shared" si="25"/>
        <v>0</v>
      </c>
      <c r="R79" s="183">
        <f t="shared" si="26"/>
        <v>0</v>
      </c>
      <c r="S79" s="9">
        <f t="shared" ca="1" si="21"/>
        <v>2.7374743000000001</v>
      </c>
      <c r="T79" s="5">
        <f t="shared" ca="1" si="27"/>
        <v>0</v>
      </c>
      <c r="U79" s="3" cm="1">
        <f t="array" ref="U79">IF($O$1="0,5% ao mês", Juros($L$1,A79,$O$1),IF(A79&lt;$L$1,SUMIF(Juros!$A$2:$A$500,"&gt;="&amp;$L$1,Juros!$B$2:$B$500)*100,SUMIF(Juros!$A$2:$A$500,"&gt;="&amp;A79,Juros!$B$2:$B$500)*100))</f>
        <v>125.91979999999995</v>
      </c>
      <c r="V79" s="5">
        <f t="shared" ca="1" si="22"/>
        <v>0</v>
      </c>
      <c r="W79" s="184">
        <f t="shared" ca="1" si="28"/>
        <v>0</v>
      </c>
    </row>
    <row r="80" spans="1:23" x14ac:dyDescent="0.2">
      <c r="A80" s="191">
        <v>37956</v>
      </c>
      <c r="B80" s="197" t="str">
        <f>IFERROR(MATCH(C80,_xlfn.XLOOKUP(A80,EvolSalarial!$A$2:$A$349,EvolSalarial!$B$2:$Z$349),0),"-")</f>
        <v>-</v>
      </c>
      <c r="C80" s="185">
        <v>0</v>
      </c>
      <c r="D80" s="195">
        <f>IF(B80="-",C80,IF(B80=0, 0, VLOOKUP(A80,EvolSalarialCorreta!$A$2:$Z$217,B80+1,TRUE)))</f>
        <v>0</v>
      </c>
      <c r="E80" s="176">
        <f t="shared" si="16"/>
        <v>0</v>
      </c>
      <c r="F80" s="179">
        <f t="shared" si="23"/>
        <v>0</v>
      </c>
      <c r="G80" s="162">
        <v>0</v>
      </c>
      <c r="H80" s="195">
        <f t="shared" si="24"/>
        <v>0</v>
      </c>
      <c r="I80" s="176">
        <f t="shared" si="17"/>
        <v>0</v>
      </c>
      <c r="J80" s="179">
        <v>0</v>
      </c>
      <c r="K80" s="178">
        <f t="shared" si="18"/>
        <v>0</v>
      </c>
      <c r="L80" s="179">
        <v>0</v>
      </c>
      <c r="M80" s="177">
        <f t="shared" si="19"/>
        <v>0</v>
      </c>
      <c r="N80" s="179">
        <v>0</v>
      </c>
      <c r="O80" s="177">
        <f t="shared" si="20"/>
        <v>0</v>
      </c>
      <c r="P80" s="179">
        <v>0</v>
      </c>
      <c r="Q80" s="180">
        <f t="shared" si="25"/>
        <v>0</v>
      </c>
      <c r="R80" s="183">
        <f t="shared" si="26"/>
        <v>0</v>
      </c>
      <c r="S80" s="9">
        <f t="shared" ca="1" si="21"/>
        <v>2.7328285000000001</v>
      </c>
      <c r="T80" s="5">
        <f t="shared" ca="1" si="27"/>
        <v>0</v>
      </c>
      <c r="U80" s="3" cm="1">
        <f t="array" ref="U80">IF($O$1="0,5% ao mês", Juros($L$1,A80,$O$1),IF(A80&lt;$L$1,SUMIF(Juros!$A$2:$A$500,"&gt;="&amp;$L$1,Juros!$B$2:$B$500)*100,SUMIF(Juros!$A$2:$A$500,"&gt;="&amp;A80,Juros!$B$2:$B$500)*100))</f>
        <v>125.23979999999995</v>
      </c>
      <c r="V80" s="5">
        <f t="shared" ca="1" si="22"/>
        <v>0</v>
      </c>
      <c r="W80" s="184">
        <f t="shared" ca="1" si="28"/>
        <v>0</v>
      </c>
    </row>
    <row r="81" spans="1:23" x14ac:dyDescent="0.2">
      <c r="A81" s="191">
        <v>37987</v>
      </c>
      <c r="B81" s="197" t="str">
        <f>IFERROR(MATCH(C81,_xlfn.XLOOKUP(A81,EvolSalarial!$A$2:$A$349,EvolSalarial!$B$2:$Z$349),0),"-")</f>
        <v>-</v>
      </c>
      <c r="C81" s="185">
        <v>0</v>
      </c>
      <c r="D81" s="195">
        <f>IF(B81="-",C81,IF(B81=0, 0, VLOOKUP(A81,EvolSalarialCorreta!$A$2:$Z$217,B81+1,TRUE)))</f>
        <v>0</v>
      </c>
      <c r="E81" s="176">
        <f t="shared" si="16"/>
        <v>0</v>
      </c>
      <c r="F81" s="179">
        <f t="shared" si="23"/>
        <v>0</v>
      </c>
      <c r="G81" s="162">
        <v>0</v>
      </c>
      <c r="H81" s="195">
        <f t="shared" si="24"/>
        <v>0</v>
      </c>
      <c r="I81" s="176">
        <f t="shared" si="17"/>
        <v>0</v>
      </c>
      <c r="J81" s="179">
        <v>0</v>
      </c>
      <c r="K81" s="178">
        <f t="shared" si="18"/>
        <v>0</v>
      </c>
      <c r="L81" s="179">
        <v>0</v>
      </c>
      <c r="M81" s="177">
        <f t="shared" si="19"/>
        <v>0</v>
      </c>
      <c r="N81" s="179">
        <v>0</v>
      </c>
      <c r="O81" s="177">
        <f t="shared" si="20"/>
        <v>0</v>
      </c>
      <c r="P81" s="179">
        <v>0</v>
      </c>
      <c r="Q81" s="180">
        <f t="shared" si="25"/>
        <v>0</v>
      </c>
      <c r="R81" s="183">
        <f t="shared" si="26"/>
        <v>0</v>
      </c>
      <c r="S81" s="9">
        <f t="shared" ca="1" si="21"/>
        <v>2.7203151000000001</v>
      </c>
      <c r="T81" s="5">
        <f t="shared" ca="1" si="27"/>
        <v>0</v>
      </c>
      <c r="U81" s="3" cm="1">
        <f t="array" ref="U81">IF($O$1="0,5% ao mês", Juros($L$1,A81,$O$1),IF(A81&lt;$L$1,SUMIF(Juros!$A$2:$A$500,"&gt;="&amp;$L$1,Juros!$B$2:$B$500)*100,SUMIF(Juros!$A$2:$A$500,"&gt;="&amp;A81,Juros!$B$2:$B$500)*100))</f>
        <v>124.54979999999995</v>
      </c>
      <c r="V81" s="5">
        <f t="shared" ca="1" si="22"/>
        <v>0</v>
      </c>
      <c r="W81" s="184">
        <f t="shared" ca="1" si="28"/>
        <v>0</v>
      </c>
    </row>
    <row r="82" spans="1:23" x14ac:dyDescent="0.2">
      <c r="A82" s="191">
        <v>38018</v>
      </c>
      <c r="B82" s="197" t="str">
        <f>IFERROR(MATCH(C82,_xlfn.XLOOKUP(A82,EvolSalarial!$A$2:$A$349,EvolSalarial!$B$2:$Z$349),0),"-")</f>
        <v>-</v>
      </c>
      <c r="C82" s="185">
        <v>0</v>
      </c>
      <c r="D82" s="195">
        <f>IF(B82="-",C82,IF(B82=0, 0, VLOOKUP(A82,EvolSalarialCorreta!$A$2:$Z$217,B82+1,TRUE)))</f>
        <v>0</v>
      </c>
      <c r="E82" s="176">
        <f t="shared" si="16"/>
        <v>0</v>
      </c>
      <c r="F82" s="179">
        <f t="shared" si="23"/>
        <v>0</v>
      </c>
      <c r="G82" s="162">
        <v>0</v>
      </c>
      <c r="H82" s="195">
        <f t="shared" si="24"/>
        <v>0</v>
      </c>
      <c r="I82" s="176">
        <f t="shared" si="17"/>
        <v>0</v>
      </c>
      <c r="J82" s="179">
        <v>0</v>
      </c>
      <c r="K82" s="178">
        <f t="shared" si="18"/>
        <v>0</v>
      </c>
      <c r="L82" s="179">
        <v>0</v>
      </c>
      <c r="M82" s="177">
        <f t="shared" si="19"/>
        <v>0</v>
      </c>
      <c r="N82" s="179">
        <v>0</v>
      </c>
      <c r="O82" s="177">
        <f t="shared" si="20"/>
        <v>0</v>
      </c>
      <c r="P82" s="179">
        <v>0</v>
      </c>
      <c r="Q82" s="180">
        <f t="shared" si="25"/>
        <v>0</v>
      </c>
      <c r="R82" s="183">
        <f t="shared" si="26"/>
        <v>0</v>
      </c>
      <c r="S82" s="9">
        <f t="shared" ca="1" si="21"/>
        <v>2.7019419</v>
      </c>
      <c r="T82" s="5">
        <f t="shared" ca="1" si="27"/>
        <v>0</v>
      </c>
      <c r="U82" s="3" cm="1">
        <f t="array" ref="U82">IF($O$1="0,5% ao mês", Juros($L$1,A82,$O$1),IF(A82&lt;$L$1,SUMIF(Juros!$A$2:$A$500,"&gt;="&amp;$L$1,Juros!$B$2:$B$500)*100,SUMIF(Juros!$A$2:$A$500,"&gt;="&amp;A82,Juros!$B$2:$B$500)*100))</f>
        <v>123.91979999999998</v>
      </c>
      <c r="V82" s="5">
        <f t="shared" ca="1" si="22"/>
        <v>0</v>
      </c>
      <c r="W82" s="184">
        <f t="shared" ca="1" si="28"/>
        <v>0</v>
      </c>
    </row>
    <row r="83" spans="1:23" x14ac:dyDescent="0.2">
      <c r="A83" s="191">
        <v>38047</v>
      </c>
      <c r="B83" s="197" t="str">
        <f>IFERROR(MATCH(C83,_xlfn.XLOOKUP(A83,EvolSalarial!$A$2:$A$349,EvolSalarial!$B$2:$Z$349),0),"-")</f>
        <v>-</v>
      </c>
      <c r="C83" s="185">
        <v>0</v>
      </c>
      <c r="D83" s="195">
        <f>IF(B83="-",C83,IF(B83=0, 0, VLOOKUP(A83,EvolSalarialCorreta!$A$2:$Z$217,B83+1,TRUE)))</f>
        <v>0</v>
      </c>
      <c r="E83" s="176">
        <f t="shared" si="16"/>
        <v>0</v>
      </c>
      <c r="F83" s="179">
        <f t="shared" si="23"/>
        <v>0</v>
      </c>
      <c r="G83" s="162">
        <v>0</v>
      </c>
      <c r="H83" s="195">
        <f t="shared" si="24"/>
        <v>0</v>
      </c>
      <c r="I83" s="176">
        <f t="shared" si="17"/>
        <v>0</v>
      </c>
      <c r="J83" s="179">
        <v>0</v>
      </c>
      <c r="K83" s="178">
        <f t="shared" si="18"/>
        <v>0</v>
      </c>
      <c r="L83" s="179">
        <v>0</v>
      </c>
      <c r="M83" s="177">
        <f t="shared" si="19"/>
        <v>0</v>
      </c>
      <c r="N83" s="179">
        <v>0</v>
      </c>
      <c r="O83" s="177">
        <f t="shared" si="20"/>
        <v>0</v>
      </c>
      <c r="P83" s="179">
        <v>0</v>
      </c>
      <c r="Q83" s="180">
        <f t="shared" si="25"/>
        <v>0</v>
      </c>
      <c r="R83" s="183">
        <f t="shared" si="26"/>
        <v>0</v>
      </c>
      <c r="S83" s="9">
        <f t="shared" ca="1" si="21"/>
        <v>2.6778412999999999</v>
      </c>
      <c r="T83" s="5">
        <f t="shared" ca="1" si="27"/>
        <v>0</v>
      </c>
      <c r="U83" s="3" cm="1">
        <f t="array" ref="U83">IF($O$1="0,5% ao mês", Juros($L$1,A83,$O$1),IF(A83&lt;$L$1,SUMIF(Juros!$A$2:$A$500,"&gt;="&amp;$L$1,Juros!$B$2:$B$500)*100,SUMIF(Juros!$A$2:$A$500,"&gt;="&amp;A83,Juros!$B$2:$B$500)*100))</f>
        <v>123.36979999999997</v>
      </c>
      <c r="V83" s="5">
        <f t="shared" ca="1" si="22"/>
        <v>0</v>
      </c>
      <c r="W83" s="184">
        <f t="shared" ca="1" si="28"/>
        <v>0</v>
      </c>
    </row>
    <row r="84" spans="1:23" x14ac:dyDescent="0.2">
      <c r="A84" s="191">
        <v>38078</v>
      </c>
      <c r="B84" s="197" t="str">
        <f>IFERROR(MATCH(C84,_xlfn.XLOOKUP(A84,EvolSalarial!$A$2:$A$349,EvolSalarial!$B$2:$Z$349),0),"-")</f>
        <v>-</v>
      </c>
      <c r="C84" s="185">
        <v>0</v>
      </c>
      <c r="D84" s="195">
        <f>IF(B84="-",C84,IF(B84=0, 0, VLOOKUP(A84,EvolSalarialCorreta!$A$2:$Z$217,B84+1,TRUE)))</f>
        <v>0</v>
      </c>
      <c r="E84" s="176">
        <f t="shared" si="16"/>
        <v>0</v>
      </c>
      <c r="F84" s="179">
        <f t="shared" si="23"/>
        <v>0</v>
      </c>
      <c r="G84" s="162">
        <v>0</v>
      </c>
      <c r="H84" s="195">
        <f t="shared" si="24"/>
        <v>0</v>
      </c>
      <c r="I84" s="176">
        <f t="shared" si="17"/>
        <v>0</v>
      </c>
      <c r="J84" s="179">
        <v>0</v>
      </c>
      <c r="K84" s="178">
        <f t="shared" si="18"/>
        <v>0</v>
      </c>
      <c r="L84" s="179">
        <v>0</v>
      </c>
      <c r="M84" s="177">
        <f t="shared" si="19"/>
        <v>0</v>
      </c>
      <c r="N84" s="179">
        <v>0</v>
      </c>
      <c r="O84" s="177">
        <f t="shared" si="20"/>
        <v>0</v>
      </c>
      <c r="P84" s="179">
        <v>0</v>
      </c>
      <c r="Q84" s="180">
        <f t="shared" si="25"/>
        <v>0</v>
      </c>
      <c r="R84" s="183">
        <f t="shared" si="26"/>
        <v>0</v>
      </c>
      <c r="S84" s="9">
        <f t="shared" ca="1" si="21"/>
        <v>2.6671725999999998</v>
      </c>
      <c r="T84" s="5">
        <f t="shared" ca="1" si="27"/>
        <v>0</v>
      </c>
      <c r="U84" s="3" cm="1">
        <f t="array" ref="U84">IF($O$1="0,5% ao mês", Juros($L$1,A84,$O$1),IF(A84&lt;$L$1,SUMIF(Juros!$A$2:$A$500,"&gt;="&amp;$L$1,Juros!$B$2:$B$500)*100,SUMIF(Juros!$A$2:$A$500,"&gt;="&amp;A84,Juros!$B$2:$B$500)*100))</f>
        <v>122.68979999999998</v>
      </c>
      <c r="V84" s="5">
        <f t="shared" ca="1" si="22"/>
        <v>0</v>
      </c>
      <c r="W84" s="184">
        <f t="shared" ca="1" si="28"/>
        <v>0</v>
      </c>
    </row>
    <row r="85" spans="1:23" x14ac:dyDescent="0.2">
      <c r="A85" s="191">
        <v>38108</v>
      </c>
      <c r="B85" s="197" t="str">
        <f>IFERROR(MATCH(C85,_xlfn.XLOOKUP(A85,EvolSalarial!$A$2:$A$349,EvolSalarial!$B$2:$Z$349),0),"-")</f>
        <v>-</v>
      </c>
      <c r="C85" s="185">
        <v>0</v>
      </c>
      <c r="D85" s="195">
        <f>IF(B85="-",C85,IF(B85=0, 0, VLOOKUP(A85,EvolSalarialCorreta!$A$2:$Z$217,B85+1,TRUE)))</f>
        <v>0</v>
      </c>
      <c r="E85" s="176">
        <f t="shared" si="16"/>
        <v>0</v>
      </c>
      <c r="F85" s="179">
        <f t="shared" si="23"/>
        <v>0</v>
      </c>
      <c r="G85" s="162">
        <v>0</v>
      </c>
      <c r="H85" s="195">
        <f t="shared" si="24"/>
        <v>0</v>
      </c>
      <c r="I85" s="176">
        <f t="shared" si="17"/>
        <v>0</v>
      </c>
      <c r="J85" s="179">
        <v>0</v>
      </c>
      <c r="K85" s="178">
        <f t="shared" si="18"/>
        <v>0</v>
      </c>
      <c r="L85" s="179">
        <v>0</v>
      </c>
      <c r="M85" s="177">
        <f t="shared" si="19"/>
        <v>0</v>
      </c>
      <c r="N85" s="179">
        <v>0</v>
      </c>
      <c r="O85" s="177">
        <f t="shared" si="20"/>
        <v>0</v>
      </c>
      <c r="P85" s="179">
        <v>0</v>
      </c>
      <c r="Q85" s="180">
        <f t="shared" si="25"/>
        <v>0</v>
      </c>
      <c r="R85" s="183">
        <f t="shared" si="26"/>
        <v>0</v>
      </c>
      <c r="S85" s="9">
        <f t="shared" ca="1" si="21"/>
        <v>2.6615833000000002</v>
      </c>
      <c r="T85" s="5">
        <f t="shared" ca="1" si="27"/>
        <v>0</v>
      </c>
      <c r="U85" s="3" cm="1">
        <f t="array" ref="U85">IF($O$1="0,5% ao mês", Juros($L$1,A85,$O$1),IF(A85&lt;$L$1,SUMIF(Juros!$A$2:$A$500,"&gt;="&amp;$L$1,Juros!$B$2:$B$500)*100,SUMIF(Juros!$A$2:$A$500,"&gt;="&amp;A85,Juros!$B$2:$B$500)*100))</f>
        <v>122.09979999999996</v>
      </c>
      <c r="V85" s="5">
        <f t="shared" ca="1" si="22"/>
        <v>0</v>
      </c>
      <c r="W85" s="184">
        <f t="shared" ca="1" si="28"/>
        <v>0</v>
      </c>
    </row>
    <row r="86" spans="1:23" x14ac:dyDescent="0.2">
      <c r="A86" s="191">
        <v>38139</v>
      </c>
      <c r="B86" s="197" t="str">
        <f>IFERROR(MATCH(C86,_xlfn.XLOOKUP(A86,EvolSalarial!$A$2:$A$349,EvolSalarial!$B$2:$Z$349),0),"-")</f>
        <v>-</v>
      </c>
      <c r="C86" s="185">
        <v>0</v>
      </c>
      <c r="D86" s="195">
        <f>IF(B86="-",C86,IF(B86=0, 0, VLOOKUP(A86,EvolSalarialCorreta!$A$2:$Z$217,B86+1,TRUE)))</f>
        <v>0</v>
      </c>
      <c r="E86" s="176">
        <f t="shared" si="16"/>
        <v>0</v>
      </c>
      <c r="F86" s="179">
        <f t="shared" si="23"/>
        <v>0</v>
      </c>
      <c r="G86" s="162">
        <v>0</v>
      </c>
      <c r="H86" s="195">
        <f t="shared" si="24"/>
        <v>0</v>
      </c>
      <c r="I86" s="176">
        <f t="shared" si="17"/>
        <v>0</v>
      </c>
      <c r="J86" s="179">
        <v>0</v>
      </c>
      <c r="K86" s="178">
        <f t="shared" si="18"/>
        <v>0</v>
      </c>
      <c r="L86" s="179">
        <v>0</v>
      </c>
      <c r="M86" s="177">
        <f t="shared" si="19"/>
        <v>0</v>
      </c>
      <c r="N86" s="179">
        <v>0</v>
      </c>
      <c r="O86" s="177">
        <f t="shared" si="20"/>
        <v>0</v>
      </c>
      <c r="P86" s="179">
        <v>0</v>
      </c>
      <c r="Q86" s="180">
        <f t="shared" si="25"/>
        <v>0</v>
      </c>
      <c r="R86" s="183">
        <f t="shared" si="26"/>
        <v>0</v>
      </c>
      <c r="S86" s="9">
        <f t="shared" ca="1" si="21"/>
        <v>2.6472878999999998</v>
      </c>
      <c r="T86" s="5">
        <f t="shared" ca="1" si="27"/>
        <v>0</v>
      </c>
      <c r="U86" s="3" cm="1">
        <f t="array" ref="U86">IF($O$1="0,5% ao mês", Juros($L$1,A86,$O$1),IF(A86&lt;$L$1,SUMIF(Juros!$A$2:$A$500,"&gt;="&amp;$L$1,Juros!$B$2:$B$500)*100,SUMIF(Juros!$A$2:$A$500,"&gt;="&amp;A86,Juros!$B$2:$B$500)*100))</f>
        <v>121.43979999999999</v>
      </c>
      <c r="V86" s="5">
        <f t="shared" ca="1" si="22"/>
        <v>0</v>
      </c>
      <c r="W86" s="184">
        <f t="shared" ca="1" si="28"/>
        <v>0</v>
      </c>
    </row>
    <row r="87" spans="1:23" x14ac:dyDescent="0.2">
      <c r="A87" s="191">
        <v>38169</v>
      </c>
      <c r="B87" s="197" t="str">
        <f>IFERROR(MATCH(C87,_xlfn.XLOOKUP(A87,EvolSalarial!$A$2:$A$349,EvolSalarial!$B$2:$Z$349),0),"-")</f>
        <v>-</v>
      </c>
      <c r="C87" s="185">
        <v>0</v>
      </c>
      <c r="D87" s="195">
        <f>IF(B87="-",C87,IF(B87=0, 0, VLOOKUP(A87,EvolSalarialCorreta!$A$2:$Z$217,B87+1,TRUE)))</f>
        <v>0</v>
      </c>
      <c r="E87" s="176">
        <f t="shared" si="16"/>
        <v>0</v>
      </c>
      <c r="F87" s="179">
        <f t="shared" si="23"/>
        <v>0</v>
      </c>
      <c r="G87" s="162">
        <v>0</v>
      </c>
      <c r="H87" s="195">
        <f t="shared" si="24"/>
        <v>0</v>
      </c>
      <c r="I87" s="176">
        <f t="shared" si="17"/>
        <v>0</v>
      </c>
      <c r="J87" s="179">
        <v>0</v>
      </c>
      <c r="K87" s="178">
        <f t="shared" si="18"/>
        <v>0</v>
      </c>
      <c r="L87" s="179">
        <v>0</v>
      </c>
      <c r="M87" s="177">
        <f t="shared" si="19"/>
        <v>0</v>
      </c>
      <c r="N87" s="179">
        <v>0</v>
      </c>
      <c r="O87" s="177">
        <f t="shared" si="20"/>
        <v>0</v>
      </c>
      <c r="P87" s="179">
        <v>0</v>
      </c>
      <c r="Q87" s="180">
        <f t="shared" si="25"/>
        <v>0</v>
      </c>
      <c r="R87" s="183">
        <f t="shared" si="26"/>
        <v>0</v>
      </c>
      <c r="S87" s="9">
        <f t="shared" ca="1" si="21"/>
        <v>2.6325457000000001</v>
      </c>
      <c r="T87" s="5">
        <f t="shared" ca="1" si="27"/>
        <v>0</v>
      </c>
      <c r="U87" s="3" cm="1">
        <f t="array" ref="U87">IF($O$1="0,5% ao mês", Juros($L$1,A87,$O$1),IF(A87&lt;$L$1,SUMIF(Juros!$A$2:$A$500,"&gt;="&amp;$L$1,Juros!$B$2:$B$500)*100,SUMIF(Juros!$A$2:$A$500,"&gt;="&amp;A87,Juros!$B$2:$B$500)*100))</f>
        <v>120.75979999999997</v>
      </c>
      <c r="V87" s="5">
        <f t="shared" ca="1" si="22"/>
        <v>0</v>
      </c>
      <c r="W87" s="184">
        <f t="shared" ca="1" si="28"/>
        <v>0</v>
      </c>
    </row>
    <row r="88" spans="1:23" x14ac:dyDescent="0.2">
      <c r="A88" s="191">
        <v>38200</v>
      </c>
      <c r="B88" s="197" t="str">
        <f>IFERROR(MATCH(C88,_xlfn.XLOOKUP(A88,EvolSalarial!$A$2:$A$349,EvolSalarial!$B$2:$Z$349),0),"-")</f>
        <v>-</v>
      </c>
      <c r="C88" s="185">
        <v>0</v>
      </c>
      <c r="D88" s="195">
        <f>IF(B88="-",C88,IF(B88=0, 0, VLOOKUP(A88,EvolSalarialCorreta!$A$2:$Z$217,B88+1,TRUE)))</f>
        <v>0</v>
      </c>
      <c r="E88" s="176">
        <f t="shared" si="16"/>
        <v>0</v>
      </c>
      <c r="F88" s="179">
        <f t="shared" si="23"/>
        <v>0</v>
      </c>
      <c r="G88" s="162">
        <v>0</v>
      </c>
      <c r="H88" s="195">
        <f t="shared" si="24"/>
        <v>0</v>
      </c>
      <c r="I88" s="176">
        <f t="shared" si="17"/>
        <v>0</v>
      </c>
      <c r="J88" s="179">
        <v>0</v>
      </c>
      <c r="K88" s="178">
        <f t="shared" si="18"/>
        <v>0</v>
      </c>
      <c r="L88" s="179">
        <v>0</v>
      </c>
      <c r="M88" s="177">
        <f t="shared" si="19"/>
        <v>0</v>
      </c>
      <c r="N88" s="179">
        <v>0</v>
      </c>
      <c r="O88" s="177">
        <f t="shared" si="20"/>
        <v>0</v>
      </c>
      <c r="P88" s="179">
        <v>0</v>
      </c>
      <c r="Q88" s="180">
        <f t="shared" si="25"/>
        <v>0</v>
      </c>
      <c r="R88" s="183">
        <f t="shared" si="26"/>
        <v>0</v>
      </c>
      <c r="S88" s="9">
        <f t="shared" ca="1" si="21"/>
        <v>2.6082885999999998</v>
      </c>
      <c r="T88" s="5">
        <f t="shared" ca="1" si="27"/>
        <v>0</v>
      </c>
      <c r="U88" s="3" cm="1">
        <f t="array" ref="U88">IF($O$1="0,5% ao mês", Juros($L$1,A88,$O$1),IF(A88&lt;$L$1,SUMIF(Juros!$A$2:$A$500,"&gt;="&amp;$L$1,Juros!$B$2:$B$500)*100,SUMIF(Juros!$A$2:$A$500,"&gt;="&amp;A88,Juros!$B$2:$B$500)*100))</f>
        <v>120.05979999999998</v>
      </c>
      <c r="V88" s="5">
        <f t="shared" ca="1" si="22"/>
        <v>0</v>
      </c>
      <c r="W88" s="184">
        <f t="shared" ca="1" si="28"/>
        <v>0</v>
      </c>
    </row>
    <row r="89" spans="1:23" x14ac:dyDescent="0.2">
      <c r="A89" s="191">
        <v>38231</v>
      </c>
      <c r="B89" s="197" t="str">
        <f>IFERROR(MATCH(C89,_xlfn.XLOOKUP(A89,EvolSalarial!$A$2:$A$349,EvolSalarial!$B$2:$Z$349),0),"-")</f>
        <v>-</v>
      </c>
      <c r="C89" s="185">
        <v>0</v>
      </c>
      <c r="D89" s="195">
        <f>IF(B89="-",C89,IF(B89=0, 0, VLOOKUP(A89,EvolSalarialCorreta!$A$2:$Z$217,B89+1,TRUE)))</f>
        <v>0</v>
      </c>
      <c r="E89" s="176">
        <f t="shared" si="16"/>
        <v>0</v>
      </c>
      <c r="F89" s="179">
        <f t="shared" si="23"/>
        <v>0</v>
      </c>
      <c r="G89" s="162">
        <v>0</v>
      </c>
      <c r="H89" s="195">
        <f t="shared" si="24"/>
        <v>0</v>
      </c>
      <c r="I89" s="176">
        <f t="shared" si="17"/>
        <v>0</v>
      </c>
      <c r="J89" s="179">
        <v>0</v>
      </c>
      <c r="K89" s="178">
        <f t="shared" si="18"/>
        <v>0</v>
      </c>
      <c r="L89" s="179">
        <v>0</v>
      </c>
      <c r="M89" s="177">
        <f t="shared" si="19"/>
        <v>0</v>
      </c>
      <c r="N89" s="179">
        <v>0</v>
      </c>
      <c r="O89" s="177">
        <f t="shared" si="20"/>
        <v>0</v>
      </c>
      <c r="P89" s="179">
        <v>0</v>
      </c>
      <c r="Q89" s="180">
        <f t="shared" si="25"/>
        <v>0</v>
      </c>
      <c r="R89" s="183">
        <f t="shared" si="26"/>
        <v>0</v>
      </c>
      <c r="S89" s="9">
        <f t="shared" ca="1" si="21"/>
        <v>2.5878445999999999</v>
      </c>
      <c r="T89" s="5">
        <f t="shared" ca="1" si="27"/>
        <v>0</v>
      </c>
      <c r="U89" s="3" cm="1">
        <f t="array" ref="U89">IF($O$1="0,5% ao mês", Juros($L$1,A89,$O$1),IF(A89&lt;$L$1,SUMIF(Juros!$A$2:$A$500,"&gt;="&amp;$L$1,Juros!$B$2:$B$500)*100,SUMIF(Juros!$A$2:$A$500,"&gt;="&amp;A89,Juros!$B$2:$B$500)*100))</f>
        <v>119.35979999999998</v>
      </c>
      <c r="V89" s="5">
        <f t="shared" ca="1" si="22"/>
        <v>0</v>
      </c>
      <c r="W89" s="184">
        <f t="shared" ca="1" si="28"/>
        <v>0</v>
      </c>
    </row>
    <row r="90" spans="1:23" x14ac:dyDescent="0.2">
      <c r="A90" s="191">
        <v>38261</v>
      </c>
      <c r="B90" s="197" t="str">
        <f>IFERROR(MATCH(C90,_xlfn.XLOOKUP(A90,EvolSalarial!$A$2:$A$349,EvolSalarial!$B$2:$Z$349),0),"-")</f>
        <v>-</v>
      </c>
      <c r="C90" s="185">
        <v>0</v>
      </c>
      <c r="D90" s="195">
        <f>IF(B90="-",C90,IF(B90=0, 0, VLOOKUP(A90,EvolSalarialCorreta!$A$2:$Z$217,B90+1,TRUE)))</f>
        <v>0</v>
      </c>
      <c r="E90" s="176">
        <f t="shared" si="16"/>
        <v>0</v>
      </c>
      <c r="F90" s="179">
        <f t="shared" si="23"/>
        <v>0</v>
      </c>
      <c r="G90" s="162">
        <v>0</v>
      </c>
      <c r="H90" s="195">
        <f t="shared" si="24"/>
        <v>0</v>
      </c>
      <c r="I90" s="176">
        <f t="shared" si="17"/>
        <v>0</v>
      </c>
      <c r="J90" s="179">
        <v>0</v>
      </c>
      <c r="K90" s="178">
        <f t="shared" si="18"/>
        <v>0</v>
      </c>
      <c r="L90" s="179">
        <v>0</v>
      </c>
      <c r="M90" s="177">
        <f t="shared" si="19"/>
        <v>0</v>
      </c>
      <c r="N90" s="179">
        <v>0</v>
      </c>
      <c r="O90" s="177">
        <f t="shared" si="20"/>
        <v>0</v>
      </c>
      <c r="P90" s="179">
        <v>0</v>
      </c>
      <c r="Q90" s="180">
        <f t="shared" si="25"/>
        <v>0</v>
      </c>
      <c r="R90" s="183">
        <f t="shared" si="26"/>
        <v>0</v>
      </c>
      <c r="S90" s="9">
        <f t="shared" ca="1" si="21"/>
        <v>2.5752259999999998</v>
      </c>
      <c r="T90" s="5">
        <f t="shared" ca="1" si="27"/>
        <v>0</v>
      </c>
      <c r="U90" s="3" cm="1">
        <f t="array" ref="U90">IF($O$1="0,5% ao mês", Juros($L$1,A90,$O$1),IF(A90&lt;$L$1,SUMIF(Juros!$A$2:$A$500,"&gt;="&amp;$L$1,Juros!$B$2:$B$500)*100,SUMIF(Juros!$A$2:$A$500,"&gt;="&amp;A90,Juros!$B$2:$B$500)*100))</f>
        <v>118.68979999999998</v>
      </c>
      <c r="V90" s="5">
        <f t="shared" ca="1" si="22"/>
        <v>0</v>
      </c>
      <c r="W90" s="184">
        <f t="shared" ca="1" si="28"/>
        <v>0</v>
      </c>
    </row>
    <row r="91" spans="1:23" ht="13.5" thickBot="1" x14ac:dyDescent="0.25">
      <c r="A91" s="191">
        <v>38292</v>
      </c>
      <c r="B91" s="197" t="str">
        <f>IFERROR(MATCH(C91,_xlfn.XLOOKUP(A91,EvolSalarial!$A$2:$A$349,EvolSalarial!$B$2:$Z$349),0),"-")</f>
        <v>-</v>
      </c>
      <c r="C91" s="185">
        <v>0</v>
      </c>
      <c r="D91" s="195">
        <f>IF(B91="-",C91,IF(B91=0, 0, VLOOKUP(A91,EvolSalarialCorreta!$A$2:$Z$217,B91+1,TRUE)))</f>
        <v>0</v>
      </c>
      <c r="E91" s="176">
        <f t="shared" si="16"/>
        <v>0</v>
      </c>
      <c r="F91" s="179">
        <f t="shared" si="23"/>
        <v>0</v>
      </c>
      <c r="G91" s="162">
        <v>0</v>
      </c>
      <c r="H91" s="195">
        <f t="shared" si="24"/>
        <v>0</v>
      </c>
      <c r="I91" s="176">
        <f t="shared" si="17"/>
        <v>0</v>
      </c>
      <c r="J91" s="179">
        <v>0</v>
      </c>
      <c r="K91" s="178">
        <f t="shared" si="18"/>
        <v>0</v>
      </c>
      <c r="L91" s="179">
        <v>0</v>
      </c>
      <c r="M91" s="177">
        <f t="shared" si="19"/>
        <v>0</v>
      </c>
      <c r="N91" s="179">
        <v>0</v>
      </c>
      <c r="O91" s="177">
        <f t="shared" si="20"/>
        <v>0</v>
      </c>
      <c r="P91" s="179">
        <v>0</v>
      </c>
      <c r="Q91" s="180">
        <f t="shared" si="25"/>
        <v>0</v>
      </c>
      <c r="R91" s="183">
        <f t="shared" si="26"/>
        <v>0</v>
      </c>
      <c r="S91" s="9">
        <f t="shared" ca="1" si="21"/>
        <v>2.5670115999999998</v>
      </c>
      <c r="T91" s="5">
        <f t="shared" ca="1" si="27"/>
        <v>0</v>
      </c>
      <c r="U91" s="3" cm="1">
        <f t="array" ref="U91">IF($O$1="0,5% ao mês", Juros($L$1,A91,$O$1),IF(A91&lt;$L$1,SUMIF(Juros!$A$2:$A$500,"&gt;="&amp;$L$1,Juros!$B$2:$B$500)*100,SUMIF(Juros!$A$2:$A$500,"&gt;="&amp;A91,Juros!$B$2:$B$500)*100))</f>
        <v>118.07979999999998</v>
      </c>
      <c r="V91" s="5">
        <f t="shared" ca="1" si="22"/>
        <v>0</v>
      </c>
      <c r="W91" s="184">
        <f t="shared" ca="1" si="28"/>
        <v>0</v>
      </c>
    </row>
    <row r="92" spans="1:23" x14ac:dyDescent="0.2">
      <c r="A92" s="216" t="s">
        <v>13</v>
      </c>
      <c r="B92" s="217"/>
      <c r="C92" s="217"/>
      <c r="D92" s="217"/>
      <c r="E92" s="217"/>
      <c r="F92" s="217"/>
      <c r="G92" s="217"/>
      <c r="H92" s="217"/>
      <c r="I92" s="217"/>
      <c r="J92" s="217"/>
      <c r="K92" s="217"/>
      <c r="L92" s="217"/>
      <c r="M92" s="217"/>
      <c r="N92" s="217"/>
      <c r="O92" s="217"/>
      <c r="P92" s="217"/>
      <c r="Q92" s="217"/>
      <c r="R92" s="217"/>
      <c r="S92" s="217"/>
      <c r="T92" s="186">
        <f ca="1">SUM(T10:T91)</f>
        <v>0</v>
      </c>
      <c r="U92" s="187"/>
      <c r="V92" s="186">
        <f ca="1">SUM(V10:V91)</f>
        <v>0</v>
      </c>
      <c r="W92" s="188">
        <f ca="1">SUM(W10:W91)</f>
        <v>0</v>
      </c>
    </row>
    <row r="93" spans="1:23" x14ac:dyDescent="0.2">
      <c r="A93" s="218" t="s">
        <v>55</v>
      </c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196">
        <f ca="1" xml:space="preserve"> W92*J2</f>
        <v>0</v>
      </c>
    </row>
    <row r="94" spans="1:23" ht="13.5" thickBot="1" x14ac:dyDescent="0.25">
      <c r="A94" s="201" t="s">
        <v>14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2"/>
      <c r="P94" s="202"/>
      <c r="Q94" s="202"/>
      <c r="R94" s="202"/>
      <c r="S94" s="202"/>
      <c r="T94" s="202"/>
      <c r="U94" s="202"/>
      <c r="V94" s="202"/>
      <c r="W94" s="189">
        <f ca="1">SUM(W92:W93)</f>
        <v>0</v>
      </c>
    </row>
  </sheetData>
  <protectedRanges>
    <protectedRange sqref="F4" name="Intervalo2_1"/>
    <protectedRange sqref="B4:D4" name="Intervalo1_1"/>
    <protectedRange sqref="L2" name="Intervalo3"/>
  </protectedRanges>
  <mergeCells count="39">
    <mergeCell ref="A3:C3"/>
    <mergeCell ref="A1:C1"/>
    <mergeCell ref="O1:Q1"/>
    <mergeCell ref="U1:V1"/>
    <mergeCell ref="A2:C2"/>
    <mergeCell ref="U2:V2"/>
    <mergeCell ref="J6:S6"/>
    <mergeCell ref="A7:A8"/>
    <mergeCell ref="B7:B9"/>
    <mergeCell ref="R7:R8"/>
    <mergeCell ref="S7:S8"/>
    <mergeCell ref="M8:M9"/>
    <mergeCell ref="N7:O7"/>
    <mergeCell ref="N8:N9"/>
    <mergeCell ref="W7:W8"/>
    <mergeCell ref="A92:S92"/>
    <mergeCell ref="A93:V93"/>
    <mergeCell ref="G8:G9"/>
    <mergeCell ref="I8:I9"/>
    <mergeCell ref="J8:J9"/>
    <mergeCell ref="K8:K9"/>
    <mergeCell ref="D8:D9"/>
    <mergeCell ref="H8:H9"/>
    <mergeCell ref="A94:V94"/>
    <mergeCell ref="C7:E7"/>
    <mergeCell ref="F7:I7"/>
    <mergeCell ref="J7:K7"/>
    <mergeCell ref="L7:M7"/>
    <mergeCell ref="L8:L9"/>
    <mergeCell ref="C8:C9"/>
    <mergeCell ref="E8:E9"/>
    <mergeCell ref="F8:F9"/>
    <mergeCell ref="T7:T8"/>
    <mergeCell ref="U7:U8"/>
    <mergeCell ref="V7:V8"/>
    <mergeCell ref="O8:O9"/>
    <mergeCell ref="Q8:Q9"/>
    <mergeCell ref="P7:Q7"/>
    <mergeCell ref="P8:P9"/>
  </mergeCells>
  <dataValidations count="2">
    <dataValidation type="list" allowBlank="1" showInputMessage="1" showErrorMessage="1" sqref="O1:P1" xr:uid="{57401D90-473A-4238-8B8A-810F268807A6}">
      <mc:AlternateContent xmlns:x12ac="http://schemas.microsoft.com/office/spreadsheetml/2011/1/ac" xmlns:mc="http://schemas.openxmlformats.org/markup-compatibility/2006">
        <mc:Choice Requires="x12ac">
          <x12ac:list>"0,5% ao mês", POUPANÇA + SELIC</x12ac:list>
        </mc:Choice>
        <mc:Fallback>
          <formula1>"0,5% ao mês, POUPANÇA + SELIC"</formula1>
        </mc:Fallback>
      </mc:AlternateContent>
    </dataValidation>
    <dataValidation type="list" allowBlank="1" showInputMessage="1" showErrorMessage="1" sqref="L2" xr:uid="{64A7E695-D770-4FE0-8B62-573D6B4E46AD}">
      <formula1>"INPC, INPC/TR/IPCA, IPCA"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74" orientation="landscape" r:id="rId1"/>
  <headerFooter>
    <oddFooter>&amp;CPágina &amp;P de &amp;N&amp;RPor Thiago Teixeira, OAB/MA 10.012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3"/>
  <dimension ref="A1:Z349"/>
  <sheetViews>
    <sheetView workbookViewId="0">
      <pane xSplit="1" ySplit="1" topLeftCell="B92" activePane="bottomRight" state="frozen"/>
      <selection pane="topRight" activeCell="B1" sqref="B1"/>
      <selection pane="bottomLeft" activeCell="A2" sqref="A2"/>
      <selection pane="bottomRight" activeCell="B98" sqref="B98"/>
    </sheetView>
  </sheetViews>
  <sheetFormatPr defaultColWidth="9.140625" defaultRowHeight="12.75" x14ac:dyDescent="0.2"/>
  <cols>
    <col min="1" max="1" width="5.5703125" style="98" bestFit="1" customWidth="1"/>
    <col min="2" max="3" width="9.140625" style="27"/>
    <col min="4" max="7" width="10.42578125" style="27" bestFit="1" customWidth="1"/>
    <col min="8" max="9" width="9.140625" style="27"/>
    <col min="10" max="19" width="10.42578125" style="27" bestFit="1" customWidth="1"/>
    <col min="20" max="26" width="9.140625" style="27"/>
    <col min="27" max="16384" width="9.140625" style="26"/>
  </cols>
  <sheetData>
    <row r="1" spans="1:26" ht="13.5" thickBot="1" x14ac:dyDescent="0.25">
      <c r="A1" s="91" t="s">
        <v>23</v>
      </c>
      <c r="B1" s="75" t="s">
        <v>24</v>
      </c>
      <c r="C1" s="72" t="s">
        <v>25</v>
      </c>
      <c r="D1" s="73" t="s">
        <v>26</v>
      </c>
      <c r="E1" s="72" t="s">
        <v>27</v>
      </c>
      <c r="F1" s="73" t="s">
        <v>28</v>
      </c>
      <c r="G1" s="74" t="s">
        <v>29</v>
      </c>
      <c r="H1" s="75" t="s">
        <v>30</v>
      </c>
      <c r="I1" s="72" t="s">
        <v>31</v>
      </c>
      <c r="J1" s="73" t="s">
        <v>32</v>
      </c>
      <c r="K1" s="72" t="s">
        <v>33</v>
      </c>
      <c r="L1" s="73" t="s">
        <v>34</v>
      </c>
      <c r="M1" s="74" t="s">
        <v>35</v>
      </c>
      <c r="N1" s="75" t="s">
        <v>36</v>
      </c>
      <c r="O1" s="72" t="s">
        <v>37</v>
      </c>
      <c r="P1" s="73" t="s">
        <v>38</v>
      </c>
      <c r="Q1" s="72" t="s">
        <v>39</v>
      </c>
      <c r="R1" s="73" t="s">
        <v>40</v>
      </c>
      <c r="S1" s="74" t="s">
        <v>41</v>
      </c>
      <c r="T1" s="75" t="s">
        <v>42</v>
      </c>
      <c r="U1" s="72" t="s">
        <v>43</v>
      </c>
      <c r="V1" s="73" t="s">
        <v>44</v>
      </c>
      <c r="W1" s="72" t="s">
        <v>45</v>
      </c>
      <c r="X1" s="73" t="s">
        <v>46</v>
      </c>
      <c r="Y1" s="72" t="s">
        <v>47</v>
      </c>
      <c r="Z1" s="76" t="s">
        <v>48</v>
      </c>
    </row>
    <row r="2" spans="1:26" x14ac:dyDescent="0.2">
      <c r="A2" s="94">
        <v>34700</v>
      </c>
      <c r="B2" s="92">
        <v>70</v>
      </c>
      <c r="C2" s="48">
        <v>73.5</v>
      </c>
      <c r="D2" s="77">
        <v>77.174999999999997</v>
      </c>
      <c r="E2" s="48">
        <v>81.033749999999998</v>
      </c>
      <c r="F2" s="77">
        <v>85.085437499999998</v>
      </c>
      <c r="G2" s="78">
        <v>89.339709374999998</v>
      </c>
      <c r="H2" s="79">
        <v>93.806694843749995</v>
      </c>
      <c r="I2" s="48">
        <v>98.497029585937497</v>
      </c>
      <c r="J2" s="77">
        <v>103.42188106523437</v>
      </c>
      <c r="K2" s="48">
        <v>108.5929751184961</v>
      </c>
      <c r="L2" s="77">
        <v>114.0226238744209</v>
      </c>
      <c r="M2" s="78">
        <v>119.72375506814194</v>
      </c>
      <c r="N2" s="79">
        <v>125.70994282154903</v>
      </c>
      <c r="O2" s="48">
        <v>131.99543996262648</v>
      </c>
      <c r="P2" s="77">
        <v>138.59521196075781</v>
      </c>
      <c r="Q2" s="48">
        <v>145.5249725587957</v>
      </c>
      <c r="R2" s="77">
        <v>152.80122118673549</v>
      </c>
      <c r="S2" s="78">
        <v>160.44128224607226</v>
      </c>
      <c r="T2" s="49">
        <v>168.46334635837587</v>
      </c>
      <c r="U2" s="50">
        <v>176.88651367629467</v>
      </c>
      <c r="V2" s="51">
        <v>185.7308393601094</v>
      </c>
      <c r="W2" s="50">
        <v>195.01738132811488</v>
      </c>
      <c r="X2" s="51">
        <v>204.76825039452063</v>
      </c>
      <c r="Y2" s="50">
        <v>215.00666291424668</v>
      </c>
      <c r="Z2" s="52">
        <v>225.75699605995902</v>
      </c>
    </row>
    <row r="3" spans="1:26" x14ac:dyDescent="0.2">
      <c r="A3" s="95">
        <v>34731</v>
      </c>
      <c r="B3" s="92">
        <v>85.45</v>
      </c>
      <c r="C3" s="48">
        <v>89.72</v>
      </c>
      <c r="D3" s="77">
        <v>94.2</v>
      </c>
      <c r="E3" s="48">
        <v>98.91</v>
      </c>
      <c r="F3" s="77">
        <v>103.86</v>
      </c>
      <c r="G3" s="78">
        <v>109.05</v>
      </c>
      <c r="H3" s="79">
        <v>114.5</v>
      </c>
      <c r="I3" s="48">
        <v>120.23</v>
      </c>
      <c r="J3" s="77">
        <v>126.24</v>
      </c>
      <c r="K3" s="48">
        <v>132.56</v>
      </c>
      <c r="L3" s="77">
        <v>139.18</v>
      </c>
      <c r="M3" s="78">
        <v>146.13999999999999</v>
      </c>
      <c r="N3" s="79">
        <v>153.44</v>
      </c>
      <c r="O3" s="48">
        <v>161.12</v>
      </c>
      <c r="P3" s="77">
        <v>169.18</v>
      </c>
      <c r="Q3" s="48">
        <v>177.64</v>
      </c>
      <c r="R3" s="77">
        <v>186.52</v>
      </c>
      <c r="S3" s="78">
        <v>195.85</v>
      </c>
      <c r="T3" s="49">
        <v>205.64</v>
      </c>
      <c r="U3" s="50">
        <v>215.92</v>
      </c>
      <c r="V3" s="51">
        <v>226.72</v>
      </c>
      <c r="W3" s="50">
        <v>238.05</v>
      </c>
      <c r="X3" s="51">
        <v>249.95</v>
      </c>
      <c r="Y3" s="50">
        <v>262.45</v>
      </c>
      <c r="Z3" s="52">
        <v>275.57</v>
      </c>
    </row>
    <row r="4" spans="1:26" x14ac:dyDescent="0.2">
      <c r="A4" s="95">
        <v>34759</v>
      </c>
      <c r="B4" s="92">
        <v>85.45</v>
      </c>
      <c r="C4" s="48">
        <v>89.72</v>
      </c>
      <c r="D4" s="77">
        <v>94.2</v>
      </c>
      <c r="E4" s="48">
        <v>98.91</v>
      </c>
      <c r="F4" s="77">
        <v>103.86</v>
      </c>
      <c r="G4" s="78">
        <v>109.05</v>
      </c>
      <c r="H4" s="79">
        <v>114.5</v>
      </c>
      <c r="I4" s="48">
        <v>120.23</v>
      </c>
      <c r="J4" s="77">
        <v>126.24</v>
      </c>
      <c r="K4" s="48">
        <v>132.56</v>
      </c>
      <c r="L4" s="77">
        <v>139.18</v>
      </c>
      <c r="M4" s="78">
        <v>146.13999999999999</v>
      </c>
      <c r="N4" s="79">
        <v>153.44</v>
      </c>
      <c r="O4" s="48">
        <v>161.12</v>
      </c>
      <c r="P4" s="77">
        <v>169.18</v>
      </c>
      <c r="Q4" s="48">
        <v>177.64</v>
      </c>
      <c r="R4" s="77">
        <v>186.52</v>
      </c>
      <c r="S4" s="78">
        <v>195.85</v>
      </c>
      <c r="T4" s="49">
        <v>205.64</v>
      </c>
      <c r="U4" s="50">
        <v>215.92</v>
      </c>
      <c r="V4" s="51">
        <v>226.72</v>
      </c>
      <c r="W4" s="50">
        <v>238.05</v>
      </c>
      <c r="X4" s="51">
        <v>249.95</v>
      </c>
      <c r="Y4" s="50">
        <v>262.45</v>
      </c>
      <c r="Z4" s="52">
        <v>275.57</v>
      </c>
    </row>
    <row r="5" spans="1:26" x14ac:dyDescent="0.2">
      <c r="A5" s="95">
        <v>34790</v>
      </c>
      <c r="B5" s="92">
        <v>85.45</v>
      </c>
      <c r="C5" s="48">
        <v>89.72</v>
      </c>
      <c r="D5" s="77">
        <v>94.2</v>
      </c>
      <c r="E5" s="48">
        <v>98.91</v>
      </c>
      <c r="F5" s="77">
        <v>103.86</v>
      </c>
      <c r="G5" s="78">
        <v>109.05</v>
      </c>
      <c r="H5" s="79">
        <v>114.5</v>
      </c>
      <c r="I5" s="48">
        <v>120.23</v>
      </c>
      <c r="J5" s="77">
        <v>126.24</v>
      </c>
      <c r="K5" s="48">
        <v>132.56</v>
      </c>
      <c r="L5" s="77">
        <v>139.18</v>
      </c>
      <c r="M5" s="78">
        <v>146.13999999999999</v>
      </c>
      <c r="N5" s="79">
        <v>153.44</v>
      </c>
      <c r="O5" s="48">
        <v>161.12</v>
      </c>
      <c r="P5" s="77">
        <v>169.18</v>
      </c>
      <c r="Q5" s="48">
        <v>177.64</v>
      </c>
      <c r="R5" s="77">
        <v>186.52</v>
      </c>
      <c r="S5" s="78">
        <v>195.85</v>
      </c>
      <c r="T5" s="49">
        <v>205.64</v>
      </c>
      <c r="U5" s="50">
        <v>215.92</v>
      </c>
      <c r="V5" s="51">
        <v>226.72</v>
      </c>
      <c r="W5" s="50">
        <v>238.05</v>
      </c>
      <c r="X5" s="51">
        <v>249.95</v>
      </c>
      <c r="Y5" s="50">
        <v>262.45</v>
      </c>
      <c r="Z5" s="52">
        <v>275.57</v>
      </c>
    </row>
    <row r="6" spans="1:26" x14ac:dyDescent="0.2">
      <c r="A6" s="95">
        <v>34820</v>
      </c>
      <c r="B6" s="92">
        <v>85.45</v>
      </c>
      <c r="C6" s="48">
        <v>89.72</v>
      </c>
      <c r="D6" s="77">
        <v>94.2</v>
      </c>
      <c r="E6" s="48">
        <v>98.91</v>
      </c>
      <c r="F6" s="77">
        <v>103.86</v>
      </c>
      <c r="G6" s="78">
        <v>109.05</v>
      </c>
      <c r="H6" s="79">
        <v>114.5</v>
      </c>
      <c r="I6" s="48">
        <v>120.23</v>
      </c>
      <c r="J6" s="77">
        <v>126.24</v>
      </c>
      <c r="K6" s="48">
        <v>132.56</v>
      </c>
      <c r="L6" s="77">
        <v>139.18</v>
      </c>
      <c r="M6" s="78">
        <v>146.13999999999999</v>
      </c>
      <c r="N6" s="79">
        <v>153.44</v>
      </c>
      <c r="O6" s="48">
        <v>161.12</v>
      </c>
      <c r="P6" s="77">
        <v>169.18</v>
      </c>
      <c r="Q6" s="48">
        <v>177.64</v>
      </c>
      <c r="R6" s="77">
        <v>186.52</v>
      </c>
      <c r="S6" s="78">
        <v>195.85</v>
      </c>
      <c r="T6" s="49">
        <v>205.64</v>
      </c>
      <c r="U6" s="50">
        <v>215.92</v>
      </c>
      <c r="V6" s="51">
        <v>226.72</v>
      </c>
      <c r="W6" s="50">
        <v>238.05</v>
      </c>
      <c r="X6" s="51">
        <v>249.95</v>
      </c>
      <c r="Y6" s="50">
        <v>262.45</v>
      </c>
      <c r="Z6" s="52">
        <v>275.57</v>
      </c>
    </row>
    <row r="7" spans="1:26" x14ac:dyDescent="0.2">
      <c r="A7" s="95">
        <v>34851</v>
      </c>
      <c r="B7" s="92">
        <v>85.45</v>
      </c>
      <c r="C7" s="48">
        <v>89.72</v>
      </c>
      <c r="D7" s="77">
        <v>94.2</v>
      </c>
      <c r="E7" s="48">
        <v>98.91</v>
      </c>
      <c r="F7" s="77">
        <v>103.86</v>
      </c>
      <c r="G7" s="78">
        <v>109.05</v>
      </c>
      <c r="H7" s="79">
        <v>114.5</v>
      </c>
      <c r="I7" s="48">
        <v>120.23</v>
      </c>
      <c r="J7" s="77">
        <v>126.24</v>
      </c>
      <c r="K7" s="48">
        <v>132.56</v>
      </c>
      <c r="L7" s="77">
        <v>139.18</v>
      </c>
      <c r="M7" s="78">
        <v>146.13999999999999</v>
      </c>
      <c r="N7" s="79">
        <v>153.44</v>
      </c>
      <c r="O7" s="48">
        <v>161.12</v>
      </c>
      <c r="P7" s="77">
        <v>169.18</v>
      </c>
      <c r="Q7" s="48">
        <v>177.64</v>
      </c>
      <c r="R7" s="77">
        <v>186.52</v>
      </c>
      <c r="S7" s="78">
        <v>195.85</v>
      </c>
      <c r="T7" s="49">
        <v>205.64</v>
      </c>
      <c r="U7" s="50">
        <v>215.92</v>
      </c>
      <c r="V7" s="51">
        <v>226.72</v>
      </c>
      <c r="W7" s="50">
        <v>238.05</v>
      </c>
      <c r="X7" s="51">
        <v>249.95</v>
      </c>
      <c r="Y7" s="50">
        <v>262.45</v>
      </c>
      <c r="Z7" s="52">
        <v>275.57</v>
      </c>
    </row>
    <row r="8" spans="1:26" x14ac:dyDescent="0.2">
      <c r="A8" s="95">
        <v>34881</v>
      </c>
      <c r="B8" s="92">
        <v>85.45</v>
      </c>
      <c r="C8" s="48">
        <v>89.72</v>
      </c>
      <c r="D8" s="77">
        <v>94.2</v>
      </c>
      <c r="E8" s="48">
        <v>98.91</v>
      </c>
      <c r="F8" s="77">
        <v>103.86</v>
      </c>
      <c r="G8" s="78">
        <v>109.05</v>
      </c>
      <c r="H8" s="79">
        <v>114.5</v>
      </c>
      <c r="I8" s="48">
        <v>120.23</v>
      </c>
      <c r="J8" s="77">
        <v>126.24</v>
      </c>
      <c r="K8" s="48">
        <v>132.56</v>
      </c>
      <c r="L8" s="77">
        <v>139.18</v>
      </c>
      <c r="M8" s="78">
        <v>146.13999999999999</v>
      </c>
      <c r="N8" s="79">
        <v>153.44</v>
      </c>
      <c r="O8" s="48">
        <v>161.12</v>
      </c>
      <c r="P8" s="77">
        <v>169.18</v>
      </c>
      <c r="Q8" s="48">
        <v>177.64</v>
      </c>
      <c r="R8" s="77">
        <v>186.52</v>
      </c>
      <c r="S8" s="78">
        <v>195.85</v>
      </c>
      <c r="T8" s="49">
        <v>205.64</v>
      </c>
      <c r="U8" s="50">
        <v>215.92</v>
      </c>
      <c r="V8" s="51">
        <v>226.72</v>
      </c>
      <c r="W8" s="50">
        <v>238.05</v>
      </c>
      <c r="X8" s="51">
        <v>249.95</v>
      </c>
      <c r="Y8" s="50">
        <v>262.45</v>
      </c>
      <c r="Z8" s="52">
        <v>275.57</v>
      </c>
    </row>
    <row r="9" spans="1:26" x14ac:dyDescent="0.2">
      <c r="A9" s="95">
        <v>34912</v>
      </c>
      <c r="B9" s="92">
        <v>85.45</v>
      </c>
      <c r="C9" s="48">
        <v>89.72</v>
      </c>
      <c r="D9" s="77">
        <v>94.2</v>
      </c>
      <c r="E9" s="48">
        <v>98.91</v>
      </c>
      <c r="F9" s="77">
        <v>103.86</v>
      </c>
      <c r="G9" s="78">
        <v>109.05</v>
      </c>
      <c r="H9" s="79">
        <v>114.5</v>
      </c>
      <c r="I9" s="48">
        <v>120.23</v>
      </c>
      <c r="J9" s="77">
        <v>126.24</v>
      </c>
      <c r="K9" s="48">
        <v>132.56</v>
      </c>
      <c r="L9" s="77">
        <v>139.18</v>
      </c>
      <c r="M9" s="78">
        <v>146.13999999999999</v>
      </c>
      <c r="N9" s="79">
        <v>153.44</v>
      </c>
      <c r="O9" s="48">
        <v>161.12</v>
      </c>
      <c r="P9" s="77">
        <v>169.18</v>
      </c>
      <c r="Q9" s="48">
        <v>177.64</v>
      </c>
      <c r="R9" s="77">
        <v>186.52</v>
      </c>
      <c r="S9" s="78">
        <v>195.85</v>
      </c>
      <c r="T9" s="49">
        <v>205.64</v>
      </c>
      <c r="U9" s="50">
        <v>215.92</v>
      </c>
      <c r="V9" s="51">
        <v>226.72</v>
      </c>
      <c r="W9" s="50">
        <v>238.05</v>
      </c>
      <c r="X9" s="51">
        <v>249.95</v>
      </c>
      <c r="Y9" s="50">
        <v>262.45</v>
      </c>
      <c r="Z9" s="52">
        <v>275.57</v>
      </c>
    </row>
    <row r="10" spans="1:26" x14ac:dyDescent="0.2">
      <c r="A10" s="95">
        <v>34943</v>
      </c>
      <c r="B10" s="92">
        <v>85.45</v>
      </c>
      <c r="C10" s="48">
        <v>89.72</v>
      </c>
      <c r="D10" s="77">
        <v>94.2</v>
      </c>
      <c r="E10" s="48">
        <v>98.91</v>
      </c>
      <c r="F10" s="77">
        <v>103.86</v>
      </c>
      <c r="G10" s="78">
        <v>109.05</v>
      </c>
      <c r="H10" s="79">
        <v>114.5</v>
      </c>
      <c r="I10" s="48">
        <v>120.23</v>
      </c>
      <c r="J10" s="77">
        <v>126.24</v>
      </c>
      <c r="K10" s="48">
        <v>132.56</v>
      </c>
      <c r="L10" s="77">
        <v>139.18</v>
      </c>
      <c r="M10" s="78">
        <v>146.13999999999999</v>
      </c>
      <c r="N10" s="79">
        <v>153.44</v>
      </c>
      <c r="O10" s="48">
        <v>161.12</v>
      </c>
      <c r="P10" s="77">
        <v>169.18</v>
      </c>
      <c r="Q10" s="48">
        <v>177.64</v>
      </c>
      <c r="R10" s="77">
        <v>186.52</v>
      </c>
      <c r="S10" s="78">
        <v>195.85</v>
      </c>
      <c r="T10" s="49">
        <v>205.64</v>
      </c>
      <c r="U10" s="50">
        <v>215.92</v>
      </c>
      <c r="V10" s="51">
        <v>226.72</v>
      </c>
      <c r="W10" s="50">
        <v>238.05</v>
      </c>
      <c r="X10" s="51">
        <v>249.95</v>
      </c>
      <c r="Y10" s="50">
        <v>262.45</v>
      </c>
      <c r="Z10" s="52">
        <v>275.57</v>
      </c>
    </row>
    <row r="11" spans="1:26" x14ac:dyDescent="0.2">
      <c r="A11" s="95">
        <v>34973</v>
      </c>
      <c r="B11" s="92">
        <v>85.45</v>
      </c>
      <c r="C11" s="48">
        <v>89.72</v>
      </c>
      <c r="D11" s="77">
        <v>94.2</v>
      </c>
      <c r="E11" s="48">
        <v>98.91</v>
      </c>
      <c r="F11" s="77">
        <v>103.86</v>
      </c>
      <c r="G11" s="78">
        <v>109.05</v>
      </c>
      <c r="H11" s="79">
        <v>114.5</v>
      </c>
      <c r="I11" s="48">
        <v>120.23</v>
      </c>
      <c r="J11" s="77">
        <v>126.24</v>
      </c>
      <c r="K11" s="48">
        <v>132.56</v>
      </c>
      <c r="L11" s="77">
        <v>139.18</v>
      </c>
      <c r="M11" s="78">
        <v>146.13999999999999</v>
      </c>
      <c r="N11" s="79">
        <v>153.44</v>
      </c>
      <c r="O11" s="48">
        <v>161.12</v>
      </c>
      <c r="P11" s="77">
        <v>169.18</v>
      </c>
      <c r="Q11" s="48">
        <v>177.64</v>
      </c>
      <c r="R11" s="77">
        <v>186.52</v>
      </c>
      <c r="S11" s="78">
        <v>195.85</v>
      </c>
      <c r="T11" s="49">
        <v>205.64</v>
      </c>
      <c r="U11" s="50">
        <v>215.92</v>
      </c>
      <c r="V11" s="51">
        <v>226.72</v>
      </c>
      <c r="W11" s="50">
        <v>238.05</v>
      </c>
      <c r="X11" s="51">
        <v>249.95</v>
      </c>
      <c r="Y11" s="50">
        <v>262.45</v>
      </c>
      <c r="Z11" s="52">
        <v>275.57</v>
      </c>
    </row>
    <row r="12" spans="1:26" x14ac:dyDescent="0.2">
      <c r="A12" s="95">
        <v>35004</v>
      </c>
      <c r="B12" s="92">
        <v>85.45</v>
      </c>
      <c r="C12" s="48">
        <v>89.72</v>
      </c>
      <c r="D12" s="77">
        <v>94.2</v>
      </c>
      <c r="E12" s="48">
        <v>98.91</v>
      </c>
      <c r="F12" s="77">
        <v>103.86</v>
      </c>
      <c r="G12" s="78">
        <v>109.05</v>
      </c>
      <c r="H12" s="79">
        <v>114.5</v>
      </c>
      <c r="I12" s="48">
        <v>120.23</v>
      </c>
      <c r="J12" s="77">
        <v>126.24</v>
      </c>
      <c r="K12" s="48">
        <v>132.56</v>
      </c>
      <c r="L12" s="77">
        <v>139.18</v>
      </c>
      <c r="M12" s="78">
        <v>146.13999999999999</v>
      </c>
      <c r="N12" s="79">
        <v>153.44</v>
      </c>
      <c r="O12" s="48">
        <v>161.12</v>
      </c>
      <c r="P12" s="77">
        <v>169.18</v>
      </c>
      <c r="Q12" s="48">
        <v>177.64</v>
      </c>
      <c r="R12" s="77">
        <v>186.52</v>
      </c>
      <c r="S12" s="78">
        <v>195.85</v>
      </c>
      <c r="T12" s="49">
        <v>205.64</v>
      </c>
      <c r="U12" s="50">
        <v>215.92</v>
      </c>
      <c r="V12" s="51">
        <v>226.72</v>
      </c>
      <c r="W12" s="50">
        <v>238.05</v>
      </c>
      <c r="X12" s="51">
        <v>249.95</v>
      </c>
      <c r="Y12" s="50">
        <v>262.45</v>
      </c>
      <c r="Z12" s="52">
        <v>275.57</v>
      </c>
    </row>
    <row r="13" spans="1:26" ht="13.5" thickBot="1" x14ac:dyDescent="0.25">
      <c r="A13" s="95">
        <v>35034</v>
      </c>
      <c r="B13" s="118">
        <v>85.45</v>
      </c>
      <c r="C13" s="119">
        <v>89.72</v>
      </c>
      <c r="D13" s="120">
        <v>94.2</v>
      </c>
      <c r="E13" s="119">
        <v>98.91</v>
      </c>
      <c r="F13" s="120">
        <v>103.86</v>
      </c>
      <c r="G13" s="121">
        <v>109.05</v>
      </c>
      <c r="H13" s="122">
        <v>114.5</v>
      </c>
      <c r="I13" s="119">
        <v>120.23</v>
      </c>
      <c r="J13" s="120">
        <v>126.24</v>
      </c>
      <c r="K13" s="119">
        <v>132.56</v>
      </c>
      <c r="L13" s="120">
        <v>139.18</v>
      </c>
      <c r="M13" s="121">
        <v>146.13999999999999</v>
      </c>
      <c r="N13" s="122">
        <v>153.44</v>
      </c>
      <c r="O13" s="119">
        <v>161.12</v>
      </c>
      <c r="P13" s="120">
        <v>169.18</v>
      </c>
      <c r="Q13" s="119">
        <v>177.64</v>
      </c>
      <c r="R13" s="120">
        <v>186.52</v>
      </c>
      <c r="S13" s="121">
        <v>195.85</v>
      </c>
      <c r="T13" s="123">
        <v>205.64</v>
      </c>
      <c r="U13" s="124">
        <v>215.92</v>
      </c>
      <c r="V13" s="125">
        <v>226.72</v>
      </c>
      <c r="W13" s="124">
        <v>238.05</v>
      </c>
      <c r="X13" s="125">
        <v>249.95</v>
      </c>
      <c r="Y13" s="124">
        <v>262.45</v>
      </c>
      <c r="Z13" s="126">
        <v>275.57</v>
      </c>
    </row>
    <row r="14" spans="1:26" x14ac:dyDescent="0.2">
      <c r="A14" s="95">
        <v>35065</v>
      </c>
      <c r="B14" s="100">
        <v>85.45</v>
      </c>
      <c r="C14" s="101">
        <v>89.72</v>
      </c>
      <c r="D14" s="102">
        <v>94.2</v>
      </c>
      <c r="E14" s="101">
        <v>98.91</v>
      </c>
      <c r="F14" s="102">
        <v>103.86</v>
      </c>
      <c r="G14" s="103">
        <v>109.05</v>
      </c>
      <c r="H14" s="100">
        <v>114.5</v>
      </c>
      <c r="I14" s="101">
        <v>120.23</v>
      </c>
      <c r="J14" s="102">
        <v>126.24</v>
      </c>
      <c r="K14" s="101">
        <v>132.56</v>
      </c>
      <c r="L14" s="102">
        <v>139.18</v>
      </c>
      <c r="M14" s="103">
        <v>146.13999999999999</v>
      </c>
      <c r="N14" s="100">
        <v>153.44</v>
      </c>
      <c r="O14" s="101">
        <v>161.12</v>
      </c>
      <c r="P14" s="102">
        <v>169.18</v>
      </c>
      <c r="Q14" s="101">
        <v>177.64</v>
      </c>
      <c r="R14" s="102">
        <v>186.52</v>
      </c>
      <c r="S14" s="103">
        <v>195.85</v>
      </c>
      <c r="T14" s="110">
        <v>205.64</v>
      </c>
      <c r="U14" s="111">
        <v>215.92</v>
      </c>
      <c r="V14" s="112">
        <v>226.72</v>
      </c>
      <c r="W14" s="111">
        <v>238.05</v>
      </c>
      <c r="X14" s="112">
        <v>249.95</v>
      </c>
      <c r="Y14" s="111">
        <v>262.45</v>
      </c>
      <c r="Z14" s="113">
        <v>275.57</v>
      </c>
    </row>
    <row r="15" spans="1:26" x14ac:dyDescent="0.2">
      <c r="A15" s="95">
        <v>35096</v>
      </c>
      <c r="B15" s="79">
        <v>85.45</v>
      </c>
      <c r="C15" s="48">
        <v>89.72</v>
      </c>
      <c r="D15" s="77">
        <v>94.2</v>
      </c>
      <c r="E15" s="48">
        <v>98.91</v>
      </c>
      <c r="F15" s="77">
        <v>103.86</v>
      </c>
      <c r="G15" s="78">
        <v>109.05</v>
      </c>
      <c r="H15" s="79">
        <v>114.5</v>
      </c>
      <c r="I15" s="48">
        <v>120.23</v>
      </c>
      <c r="J15" s="77">
        <v>126.24</v>
      </c>
      <c r="K15" s="48">
        <v>132.56</v>
      </c>
      <c r="L15" s="77">
        <v>139.18</v>
      </c>
      <c r="M15" s="78">
        <v>146.13999999999999</v>
      </c>
      <c r="N15" s="79">
        <v>153.44</v>
      </c>
      <c r="O15" s="48">
        <v>161.12</v>
      </c>
      <c r="P15" s="77">
        <v>169.18</v>
      </c>
      <c r="Q15" s="48">
        <v>177.64</v>
      </c>
      <c r="R15" s="77">
        <v>186.52</v>
      </c>
      <c r="S15" s="78">
        <v>195.85</v>
      </c>
      <c r="T15" s="49">
        <v>205.64</v>
      </c>
      <c r="U15" s="50">
        <v>215.92</v>
      </c>
      <c r="V15" s="51">
        <v>226.72</v>
      </c>
      <c r="W15" s="50">
        <v>238.05</v>
      </c>
      <c r="X15" s="51">
        <v>249.95</v>
      </c>
      <c r="Y15" s="50">
        <v>262.45</v>
      </c>
      <c r="Z15" s="52">
        <v>275.57</v>
      </c>
    </row>
    <row r="16" spans="1:26" x14ac:dyDescent="0.2">
      <c r="A16" s="95">
        <v>35125</v>
      </c>
      <c r="B16" s="79">
        <v>85.45</v>
      </c>
      <c r="C16" s="48">
        <v>89.72</v>
      </c>
      <c r="D16" s="77">
        <v>94.2</v>
      </c>
      <c r="E16" s="48">
        <v>98.91</v>
      </c>
      <c r="F16" s="77">
        <v>103.86</v>
      </c>
      <c r="G16" s="78">
        <v>109.05</v>
      </c>
      <c r="H16" s="79">
        <v>114.5</v>
      </c>
      <c r="I16" s="48">
        <v>120.23</v>
      </c>
      <c r="J16" s="77">
        <v>126.24</v>
      </c>
      <c r="K16" s="48">
        <v>132.56</v>
      </c>
      <c r="L16" s="77">
        <v>139.18</v>
      </c>
      <c r="M16" s="78">
        <v>146.13999999999999</v>
      </c>
      <c r="N16" s="79">
        <v>153.44</v>
      </c>
      <c r="O16" s="48">
        <v>161.12</v>
      </c>
      <c r="P16" s="77">
        <v>169.18</v>
      </c>
      <c r="Q16" s="48">
        <v>177.64</v>
      </c>
      <c r="R16" s="77">
        <v>186.52</v>
      </c>
      <c r="S16" s="78">
        <v>195.85</v>
      </c>
      <c r="T16" s="49">
        <v>205.64</v>
      </c>
      <c r="U16" s="50">
        <v>215.92</v>
      </c>
      <c r="V16" s="51">
        <v>226.72</v>
      </c>
      <c r="W16" s="50">
        <v>238.05</v>
      </c>
      <c r="X16" s="51">
        <v>249.95</v>
      </c>
      <c r="Y16" s="50">
        <v>262.45</v>
      </c>
      <c r="Z16" s="52">
        <v>275.57</v>
      </c>
    </row>
    <row r="17" spans="1:26" x14ac:dyDescent="0.2">
      <c r="A17" s="95">
        <v>35156</v>
      </c>
      <c r="B17" s="79">
        <v>85.45</v>
      </c>
      <c r="C17" s="48">
        <v>89.72</v>
      </c>
      <c r="D17" s="77">
        <v>94.2</v>
      </c>
      <c r="E17" s="48">
        <v>98.91</v>
      </c>
      <c r="F17" s="77">
        <v>103.86</v>
      </c>
      <c r="G17" s="78">
        <v>109.05</v>
      </c>
      <c r="H17" s="79">
        <v>114.5</v>
      </c>
      <c r="I17" s="48">
        <v>120.23</v>
      </c>
      <c r="J17" s="77">
        <v>126.24</v>
      </c>
      <c r="K17" s="48">
        <v>132.56</v>
      </c>
      <c r="L17" s="77">
        <v>139.18</v>
      </c>
      <c r="M17" s="78">
        <v>146.13999999999999</v>
      </c>
      <c r="N17" s="79">
        <v>153.44</v>
      </c>
      <c r="O17" s="48">
        <v>161.12</v>
      </c>
      <c r="P17" s="77">
        <v>169.18</v>
      </c>
      <c r="Q17" s="48">
        <v>177.64</v>
      </c>
      <c r="R17" s="77">
        <v>186.52</v>
      </c>
      <c r="S17" s="78">
        <v>195.85</v>
      </c>
      <c r="T17" s="49">
        <v>205.64</v>
      </c>
      <c r="U17" s="50">
        <v>215.92</v>
      </c>
      <c r="V17" s="51">
        <v>226.72</v>
      </c>
      <c r="W17" s="50">
        <v>238.05</v>
      </c>
      <c r="X17" s="51">
        <v>249.95</v>
      </c>
      <c r="Y17" s="50">
        <v>262.45</v>
      </c>
      <c r="Z17" s="52">
        <v>275.57</v>
      </c>
    </row>
    <row r="18" spans="1:26" x14ac:dyDescent="0.2">
      <c r="A18" s="95">
        <v>35186</v>
      </c>
      <c r="B18" s="79">
        <v>85.45</v>
      </c>
      <c r="C18" s="48">
        <v>89.72</v>
      </c>
      <c r="D18" s="77">
        <v>94.2</v>
      </c>
      <c r="E18" s="48">
        <v>98.91</v>
      </c>
      <c r="F18" s="77">
        <v>103.86</v>
      </c>
      <c r="G18" s="78">
        <v>109.05</v>
      </c>
      <c r="H18" s="79">
        <v>114.5</v>
      </c>
      <c r="I18" s="48">
        <v>120.23</v>
      </c>
      <c r="J18" s="77">
        <v>126.24</v>
      </c>
      <c r="K18" s="48">
        <v>132.56</v>
      </c>
      <c r="L18" s="77">
        <v>139.18</v>
      </c>
      <c r="M18" s="78">
        <v>146.13999999999999</v>
      </c>
      <c r="N18" s="79">
        <v>153.44</v>
      </c>
      <c r="O18" s="48">
        <v>161.12</v>
      </c>
      <c r="P18" s="77">
        <v>169.18</v>
      </c>
      <c r="Q18" s="48">
        <v>177.64</v>
      </c>
      <c r="R18" s="77">
        <v>186.52</v>
      </c>
      <c r="S18" s="78">
        <v>195.85</v>
      </c>
      <c r="T18" s="49">
        <v>205.64</v>
      </c>
      <c r="U18" s="50">
        <v>215.92</v>
      </c>
      <c r="V18" s="51">
        <v>226.72</v>
      </c>
      <c r="W18" s="50">
        <v>238.05</v>
      </c>
      <c r="X18" s="51">
        <v>249.95</v>
      </c>
      <c r="Y18" s="50">
        <v>262.45</v>
      </c>
      <c r="Z18" s="52">
        <v>275.57</v>
      </c>
    </row>
    <row r="19" spans="1:26" x14ac:dyDescent="0.2">
      <c r="A19" s="95">
        <v>35217</v>
      </c>
      <c r="B19" s="79">
        <v>85.45</v>
      </c>
      <c r="C19" s="48">
        <v>89.72</v>
      </c>
      <c r="D19" s="77">
        <v>94.2</v>
      </c>
      <c r="E19" s="48">
        <v>98.91</v>
      </c>
      <c r="F19" s="77">
        <v>103.86</v>
      </c>
      <c r="G19" s="78">
        <v>109.05</v>
      </c>
      <c r="H19" s="79">
        <v>114.5</v>
      </c>
      <c r="I19" s="48">
        <v>120.23</v>
      </c>
      <c r="J19" s="77">
        <v>126.24</v>
      </c>
      <c r="K19" s="48">
        <v>132.56</v>
      </c>
      <c r="L19" s="77">
        <v>139.18</v>
      </c>
      <c r="M19" s="78">
        <v>146.13999999999999</v>
      </c>
      <c r="N19" s="79">
        <v>153.44</v>
      </c>
      <c r="O19" s="48">
        <v>161.12</v>
      </c>
      <c r="P19" s="77">
        <v>169.18</v>
      </c>
      <c r="Q19" s="48">
        <v>177.64</v>
      </c>
      <c r="R19" s="77">
        <v>186.52</v>
      </c>
      <c r="S19" s="78">
        <v>195.85</v>
      </c>
      <c r="T19" s="49">
        <v>205.64</v>
      </c>
      <c r="U19" s="50">
        <v>215.92</v>
      </c>
      <c r="V19" s="51">
        <v>226.72</v>
      </c>
      <c r="W19" s="50">
        <v>238.05</v>
      </c>
      <c r="X19" s="51">
        <v>249.95</v>
      </c>
      <c r="Y19" s="50">
        <v>262.45</v>
      </c>
      <c r="Z19" s="52">
        <v>275.57</v>
      </c>
    </row>
    <row r="20" spans="1:26" x14ac:dyDescent="0.2">
      <c r="A20" s="95">
        <v>35247</v>
      </c>
      <c r="B20" s="79">
        <v>85.45</v>
      </c>
      <c r="C20" s="48">
        <v>89.72</v>
      </c>
      <c r="D20" s="77">
        <v>94.2</v>
      </c>
      <c r="E20" s="48">
        <v>98.91</v>
      </c>
      <c r="F20" s="77">
        <v>103.86</v>
      </c>
      <c r="G20" s="78">
        <v>109.05</v>
      </c>
      <c r="H20" s="79">
        <v>114.5</v>
      </c>
      <c r="I20" s="48">
        <v>120.23</v>
      </c>
      <c r="J20" s="77">
        <v>126.24</v>
      </c>
      <c r="K20" s="48">
        <v>132.56</v>
      </c>
      <c r="L20" s="77">
        <v>139.18</v>
      </c>
      <c r="M20" s="78">
        <v>146.13999999999999</v>
      </c>
      <c r="N20" s="79">
        <v>153.44</v>
      </c>
      <c r="O20" s="48">
        <v>161.12</v>
      </c>
      <c r="P20" s="77">
        <v>169.18</v>
      </c>
      <c r="Q20" s="48">
        <v>177.64</v>
      </c>
      <c r="R20" s="77">
        <v>186.52</v>
      </c>
      <c r="S20" s="78">
        <v>195.85</v>
      </c>
      <c r="T20" s="49">
        <v>205.64</v>
      </c>
      <c r="U20" s="50">
        <v>215.92</v>
      </c>
      <c r="V20" s="51">
        <v>226.72</v>
      </c>
      <c r="W20" s="50">
        <v>238.05</v>
      </c>
      <c r="X20" s="51">
        <v>249.95</v>
      </c>
      <c r="Y20" s="50">
        <v>262.45</v>
      </c>
      <c r="Z20" s="52">
        <v>275.57</v>
      </c>
    </row>
    <row r="21" spans="1:26" x14ac:dyDescent="0.2">
      <c r="A21" s="95">
        <v>35278</v>
      </c>
      <c r="B21" s="79">
        <v>85.45</v>
      </c>
      <c r="C21" s="48">
        <v>89.72</v>
      </c>
      <c r="D21" s="77">
        <v>94.2</v>
      </c>
      <c r="E21" s="48">
        <v>98.91</v>
      </c>
      <c r="F21" s="77">
        <v>103.86</v>
      </c>
      <c r="G21" s="78">
        <v>109.05</v>
      </c>
      <c r="H21" s="79">
        <v>114.5</v>
      </c>
      <c r="I21" s="48">
        <v>120.23</v>
      </c>
      <c r="J21" s="77">
        <v>126.24</v>
      </c>
      <c r="K21" s="48">
        <v>132.56</v>
      </c>
      <c r="L21" s="77">
        <v>139.18</v>
      </c>
      <c r="M21" s="78">
        <v>146.13999999999999</v>
      </c>
      <c r="N21" s="79">
        <v>153.44</v>
      </c>
      <c r="O21" s="48">
        <v>161.12</v>
      </c>
      <c r="P21" s="77">
        <v>169.18</v>
      </c>
      <c r="Q21" s="48">
        <v>177.64</v>
      </c>
      <c r="R21" s="77">
        <v>186.52</v>
      </c>
      <c r="S21" s="78">
        <v>195.85</v>
      </c>
      <c r="T21" s="49">
        <v>205.64</v>
      </c>
      <c r="U21" s="50">
        <v>215.92</v>
      </c>
      <c r="V21" s="51">
        <v>226.72</v>
      </c>
      <c r="W21" s="50">
        <v>238.05</v>
      </c>
      <c r="X21" s="51">
        <v>249.95</v>
      </c>
      <c r="Y21" s="50">
        <v>262.45</v>
      </c>
      <c r="Z21" s="52">
        <v>275.57</v>
      </c>
    </row>
    <row r="22" spans="1:26" x14ac:dyDescent="0.2">
      <c r="A22" s="95">
        <v>35309</v>
      </c>
      <c r="B22" s="79">
        <v>85.45</v>
      </c>
      <c r="C22" s="48">
        <v>89.72</v>
      </c>
      <c r="D22" s="77">
        <v>94.2</v>
      </c>
      <c r="E22" s="48">
        <v>98.91</v>
      </c>
      <c r="F22" s="77">
        <v>103.86</v>
      </c>
      <c r="G22" s="78">
        <v>109.05</v>
      </c>
      <c r="H22" s="79">
        <v>114.5</v>
      </c>
      <c r="I22" s="48">
        <v>120.23</v>
      </c>
      <c r="J22" s="77">
        <v>126.24</v>
      </c>
      <c r="K22" s="48">
        <v>132.56</v>
      </c>
      <c r="L22" s="77">
        <v>139.18</v>
      </c>
      <c r="M22" s="78">
        <v>146.13999999999999</v>
      </c>
      <c r="N22" s="79">
        <v>153.44</v>
      </c>
      <c r="O22" s="48">
        <v>161.12</v>
      </c>
      <c r="P22" s="77">
        <v>169.18</v>
      </c>
      <c r="Q22" s="48">
        <v>177.64</v>
      </c>
      <c r="R22" s="77">
        <v>186.52</v>
      </c>
      <c r="S22" s="78">
        <v>195.85</v>
      </c>
      <c r="T22" s="49">
        <v>205.64</v>
      </c>
      <c r="U22" s="50">
        <v>215.92</v>
      </c>
      <c r="V22" s="51">
        <v>226.72</v>
      </c>
      <c r="W22" s="50">
        <v>238.05</v>
      </c>
      <c r="X22" s="51">
        <v>249.95</v>
      </c>
      <c r="Y22" s="50">
        <v>262.45</v>
      </c>
      <c r="Z22" s="52">
        <v>275.57</v>
      </c>
    </row>
    <row r="23" spans="1:26" x14ac:dyDescent="0.2">
      <c r="A23" s="95">
        <v>35339</v>
      </c>
      <c r="B23" s="79">
        <v>85.45</v>
      </c>
      <c r="C23" s="48">
        <v>89.72</v>
      </c>
      <c r="D23" s="77">
        <v>94.2</v>
      </c>
      <c r="E23" s="48">
        <v>98.91</v>
      </c>
      <c r="F23" s="77">
        <v>103.86</v>
      </c>
      <c r="G23" s="78">
        <v>109.05</v>
      </c>
      <c r="H23" s="79">
        <v>114.5</v>
      </c>
      <c r="I23" s="48">
        <v>120.23</v>
      </c>
      <c r="J23" s="77">
        <v>126.24</v>
      </c>
      <c r="K23" s="48">
        <v>132.56</v>
      </c>
      <c r="L23" s="77">
        <v>139.18</v>
      </c>
      <c r="M23" s="78">
        <v>146.13999999999999</v>
      </c>
      <c r="N23" s="79">
        <v>153.44</v>
      </c>
      <c r="O23" s="48">
        <v>161.12</v>
      </c>
      <c r="P23" s="77">
        <v>169.18</v>
      </c>
      <c r="Q23" s="48">
        <v>177.64</v>
      </c>
      <c r="R23" s="77">
        <v>186.52</v>
      </c>
      <c r="S23" s="78">
        <v>195.85</v>
      </c>
      <c r="T23" s="49">
        <v>205.64</v>
      </c>
      <c r="U23" s="50">
        <v>215.92</v>
      </c>
      <c r="V23" s="51">
        <v>226.72</v>
      </c>
      <c r="W23" s="50">
        <v>238.05</v>
      </c>
      <c r="X23" s="51">
        <v>249.95</v>
      </c>
      <c r="Y23" s="50">
        <v>262.45</v>
      </c>
      <c r="Z23" s="52">
        <v>275.57</v>
      </c>
    </row>
    <row r="24" spans="1:26" x14ac:dyDescent="0.2">
      <c r="A24" s="95">
        <v>35370</v>
      </c>
      <c r="B24" s="79">
        <v>85.45</v>
      </c>
      <c r="C24" s="48">
        <v>89.72</v>
      </c>
      <c r="D24" s="77">
        <v>94.2</v>
      </c>
      <c r="E24" s="48">
        <v>98.91</v>
      </c>
      <c r="F24" s="77">
        <v>103.86</v>
      </c>
      <c r="G24" s="78">
        <v>109.05</v>
      </c>
      <c r="H24" s="79">
        <v>114.5</v>
      </c>
      <c r="I24" s="48">
        <v>120.23</v>
      </c>
      <c r="J24" s="77">
        <v>126.24</v>
      </c>
      <c r="K24" s="48">
        <v>132.56</v>
      </c>
      <c r="L24" s="77">
        <v>139.18</v>
      </c>
      <c r="M24" s="78">
        <v>146.13999999999999</v>
      </c>
      <c r="N24" s="79">
        <v>153.44</v>
      </c>
      <c r="O24" s="48">
        <v>161.12</v>
      </c>
      <c r="P24" s="77">
        <v>169.18</v>
      </c>
      <c r="Q24" s="48">
        <v>177.64</v>
      </c>
      <c r="R24" s="77">
        <v>186.52</v>
      </c>
      <c r="S24" s="78">
        <v>195.85</v>
      </c>
      <c r="T24" s="49">
        <v>205.64</v>
      </c>
      <c r="U24" s="50">
        <v>215.92</v>
      </c>
      <c r="V24" s="51">
        <v>226.72</v>
      </c>
      <c r="W24" s="50">
        <v>238.05</v>
      </c>
      <c r="X24" s="51">
        <v>249.95</v>
      </c>
      <c r="Y24" s="50">
        <v>262.45</v>
      </c>
      <c r="Z24" s="52">
        <v>275.57</v>
      </c>
    </row>
    <row r="25" spans="1:26" ht="13.5" thickBot="1" x14ac:dyDescent="0.25">
      <c r="A25" s="95">
        <v>35400</v>
      </c>
      <c r="B25" s="127">
        <v>85.45</v>
      </c>
      <c r="C25" s="128">
        <v>89.72</v>
      </c>
      <c r="D25" s="129">
        <v>94.2</v>
      </c>
      <c r="E25" s="128">
        <v>98.91</v>
      </c>
      <c r="F25" s="129">
        <v>103.86</v>
      </c>
      <c r="G25" s="130">
        <v>109.05</v>
      </c>
      <c r="H25" s="127">
        <v>114.5</v>
      </c>
      <c r="I25" s="128">
        <v>120.23</v>
      </c>
      <c r="J25" s="129">
        <v>126.24</v>
      </c>
      <c r="K25" s="128">
        <v>132.56</v>
      </c>
      <c r="L25" s="129">
        <v>139.18</v>
      </c>
      <c r="M25" s="130">
        <v>146.13999999999999</v>
      </c>
      <c r="N25" s="127">
        <v>153.44</v>
      </c>
      <c r="O25" s="128">
        <v>161.12</v>
      </c>
      <c r="P25" s="129">
        <v>169.18</v>
      </c>
      <c r="Q25" s="128">
        <v>177.64</v>
      </c>
      <c r="R25" s="129">
        <v>186.52</v>
      </c>
      <c r="S25" s="130">
        <v>195.85</v>
      </c>
      <c r="T25" s="131">
        <v>205.64</v>
      </c>
      <c r="U25" s="132">
        <v>215.92</v>
      </c>
      <c r="V25" s="133">
        <v>226.72</v>
      </c>
      <c r="W25" s="132">
        <v>238.05</v>
      </c>
      <c r="X25" s="133">
        <v>249.95</v>
      </c>
      <c r="Y25" s="132">
        <v>262.45</v>
      </c>
      <c r="Z25" s="134">
        <v>275.57</v>
      </c>
    </row>
    <row r="26" spans="1:26" x14ac:dyDescent="0.2">
      <c r="A26" s="95">
        <v>35431</v>
      </c>
      <c r="B26" s="100">
        <v>85.45</v>
      </c>
      <c r="C26" s="101">
        <v>89.72</v>
      </c>
      <c r="D26" s="102">
        <v>94.2</v>
      </c>
      <c r="E26" s="101">
        <v>98.91</v>
      </c>
      <c r="F26" s="102">
        <v>103.86</v>
      </c>
      <c r="G26" s="103">
        <v>109.05</v>
      </c>
      <c r="H26" s="100">
        <v>114.5</v>
      </c>
      <c r="I26" s="101">
        <v>120.23</v>
      </c>
      <c r="J26" s="102">
        <v>126.24</v>
      </c>
      <c r="K26" s="101">
        <v>132.56</v>
      </c>
      <c r="L26" s="102">
        <v>139.18</v>
      </c>
      <c r="M26" s="103">
        <v>146.13999999999999</v>
      </c>
      <c r="N26" s="100">
        <v>153.44</v>
      </c>
      <c r="O26" s="101">
        <v>161.12</v>
      </c>
      <c r="P26" s="102">
        <v>169.18</v>
      </c>
      <c r="Q26" s="101">
        <v>177.64</v>
      </c>
      <c r="R26" s="102">
        <v>186.52</v>
      </c>
      <c r="S26" s="103">
        <v>195.85</v>
      </c>
      <c r="T26" s="110">
        <v>205.64</v>
      </c>
      <c r="U26" s="111">
        <v>215.92</v>
      </c>
      <c r="V26" s="112">
        <v>226.72</v>
      </c>
      <c r="W26" s="111">
        <v>238.05</v>
      </c>
      <c r="X26" s="112">
        <v>249.95</v>
      </c>
      <c r="Y26" s="111">
        <v>262.45</v>
      </c>
      <c r="Z26" s="113">
        <v>275.57</v>
      </c>
    </row>
    <row r="27" spans="1:26" x14ac:dyDescent="0.2">
      <c r="A27" s="96">
        <v>35462</v>
      </c>
      <c r="B27" s="79">
        <v>85.45</v>
      </c>
      <c r="C27" s="48">
        <v>89.72</v>
      </c>
      <c r="D27" s="77">
        <v>94.2</v>
      </c>
      <c r="E27" s="48">
        <v>98.91</v>
      </c>
      <c r="F27" s="77">
        <v>103.86</v>
      </c>
      <c r="G27" s="78">
        <v>109.05</v>
      </c>
      <c r="H27" s="79">
        <v>114.5</v>
      </c>
      <c r="I27" s="48">
        <v>120.23</v>
      </c>
      <c r="J27" s="77">
        <v>126.24</v>
      </c>
      <c r="K27" s="48">
        <v>132.56</v>
      </c>
      <c r="L27" s="77">
        <v>139.18</v>
      </c>
      <c r="M27" s="78">
        <v>146.13999999999999</v>
      </c>
      <c r="N27" s="79">
        <v>153.44</v>
      </c>
      <c r="O27" s="48">
        <v>161.12</v>
      </c>
      <c r="P27" s="77">
        <v>169.18</v>
      </c>
      <c r="Q27" s="48">
        <v>177.64</v>
      </c>
      <c r="R27" s="77">
        <v>186.52</v>
      </c>
      <c r="S27" s="78">
        <v>195.85</v>
      </c>
      <c r="T27" s="49">
        <v>205.64</v>
      </c>
      <c r="U27" s="50">
        <v>215.92</v>
      </c>
      <c r="V27" s="51">
        <v>226.72</v>
      </c>
      <c r="W27" s="50">
        <v>238.05</v>
      </c>
      <c r="X27" s="51">
        <v>249.95</v>
      </c>
      <c r="Y27" s="50">
        <v>262.45</v>
      </c>
      <c r="Z27" s="52">
        <v>275.57</v>
      </c>
    </row>
    <row r="28" spans="1:26" x14ac:dyDescent="0.2">
      <c r="A28" s="96">
        <v>35490</v>
      </c>
      <c r="B28" s="79">
        <v>85.45</v>
      </c>
      <c r="C28" s="48">
        <v>89.72</v>
      </c>
      <c r="D28" s="77">
        <v>94.2</v>
      </c>
      <c r="E28" s="48">
        <v>98.91</v>
      </c>
      <c r="F28" s="77">
        <v>103.86</v>
      </c>
      <c r="G28" s="78">
        <v>109.05</v>
      </c>
      <c r="H28" s="79">
        <v>114.5</v>
      </c>
      <c r="I28" s="48">
        <v>120.23</v>
      </c>
      <c r="J28" s="77">
        <v>126.24</v>
      </c>
      <c r="K28" s="48">
        <v>132.56</v>
      </c>
      <c r="L28" s="77">
        <v>139.18</v>
      </c>
      <c r="M28" s="78">
        <v>146.13999999999999</v>
      </c>
      <c r="N28" s="79">
        <v>153.44</v>
      </c>
      <c r="O28" s="48">
        <v>161.12</v>
      </c>
      <c r="P28" s="77">
        <v>169.18</v>
      </c>
      <c r="Q28" s="48">
        <v>177.64</v>
      </c>
      <c r="R28" s="77">
        <v>186.52</v>
      </c>
      <c r="S28" s="78">
        <v>195.85</v>
      </c>
      <c r="T28" s="49">
        <v>205.64</v>
      </c>
      <c r="U28" s="50">
        <v>215.92</v>
      </c>
      <c r="V28" s="51">
        <v>226.72</v>
      </c>
      <c r="W28" s="50">
        <v>238.05</v>
      </c>
      <c r="X28" s="51">
        <v>249.95</v>
      </c>
      <c r="Y28" s="50">
        <v>262.45</v>
      </c>
      <c r="Z28" s="52">
        <v>275.57</v>
      </c>
    </row>
    <row r="29" spans="1:26" x14ac:dyDescent="0.2">
      <c r="A29" s="96">
        <v>35521</v>
      </c>
      <c r="B29" s="79">
        <v>85.45</v>
      </c>
      <c r="C29" s="48">
        <v>89.72</v>
      </c>
      <c r="D29" s="77">
        <v>94.2</v>
      </c>
      <c r="E29" s="48">
        <v>98.91</v>
      </c>
      <c r="F29" s="77">
        <v>103.86</v>
      </c>
      <c r="G29" s="78">
        <v>109.05</v>
      </c>
      <c r="H29" s="79">
        <v>114.5</v>
      </c>
      <c r="I29" s="48">
        <v>120.23</v>
      </c>
      <c r="J29" s="77">
        <v>126.24</v>
      </c>
      <c r="K29" s="48">
        <v>132.56</v>
      </c>
      <c r="L29" s="77">
        <v>139.18</v>
      </c>
      <c r="M29" s="78">
        <v>146.13999999999999</v>
      </c>
      <c r="N29" s="79">
        <v>153.44</v>
      </c>
      <c r="O29" s="48">
        <v>161.12</v>
      </c>
      <c r="P29" s="77">
        <v>169.18</v>
      </c>
      <c r="Q29" s="48">
        <v>177.64</v>
      </c>
      <c r="R29" s="77">
        <v>186.52</v>
      </c>
      <c r="S29" s="78">
        <v>195.85</v>
      </c>
      <c r="T29" s="49">
        <v>205.64</v>
      </c>
      <c r="U29" s="50">
        <v>215.92</v>
      </c>
      <c r="V29" s="51">
        <v>226.72</v>
      </c>
      <c r="W29" s="50">
        <v>238.05</v>
      </c>
      <c r="X29" s="51">
        <v>249.95</v>
      </c>
      <c r="Y29" s="50">
        <v>262.45</v>
      </c>
      <c r="Z29" s="52">
        <v>275.57</v>
      </c>
    </row>
    <row r="30" spans="1:26" x14ac:dyDescent="0.2">
      <c r="A30" s="96">
        <v>35551</v>
      </c>
      <c r="B30" s="82">
        <v>120</v>
      </c>
      <c r="C30" s="28">
        <v>120</v>
      </c>
      <c r="D30" s="80">
        <v>120</v>
      </c>
      <c r="E30" s="28">
        <v>120</v>
      </c>
      <c r="F30" s="80">
        <v>121.54</v>
      </c>
      <c r="G30" s="81">
        <v>127.62</v>
      </c>
      <c r="H30" s="82">
        <v>134</v>
      </c>
      <c r="I30" s="28">
        <v>140.69999999999999</v>
      </c>
      <c r="J30" s="80">
        <v>147.74</v>
      </c>
      <c r="K30" s="28">
        <v>148.13</v>
      </c>
      <c r="L30" s="80">
        <v>162.88</v>
      </c>
      <c r="M30" s="81">
        <v>171.02</v>
      </c>
      <c r="N30" s="82">
        <v>179.57</v>
      </c>
      <c r="O30" s="28">
        <v>188.55</v>
      </c>
      <c r="P30" s="80">
        <v>197.99</v>
      </c>
      <c r="Q30" s="28">
        <v>207.89</v>
      </c>
      <c r="R30" s="80">
        <v>218.28</v>
      </c>
      <c r="S30" s="81">
        <v>229.2</v>
      </c>
      <c r="T30" s="29">
        <v>240.66</v>
      </c>
      <c r="U30" s="30">
        <v>252.69</v>
      </c>
      <c r="V30" s="31">
        <v>265.32</v>
      </c>
      <c r="W30" s="30">
        <v>278.58</v>
      </c>
      <c r="X30" s="31">
        <v>292.51</v>
      </c>
      <c r="Y30" s="30">
        <v>307.14</v>
      </c>
      <c r="Z30" s="32">
        <v>322.49</v>
      </c>
    </row>
    <row r="31" spans="1:26" x14ac:dyDescent="0.2">
      <c r="A31" s="96">
        <v>35582</v>
      </c>
      <c r="B31" s="82">
        <v>120</v>
      </c>
      <c r="C31" s="28">
        <v>120</v>
      </c>
      <c r="D31" s="80">
        <v>120</v>
      </c>
      <c r="E31" s="28">
        <v>120</v>
      </c>
      <c r="F31" s="80">
        <v>121.54</v>
      </c>
      <c r="G31" s="81">
        <v>127.62</v>
      </c>
      <c r="H31" s="82">
        <v>134</v>
      </c>
      <c r="I31" s="28">
        <v>140.69999999999999</v>
      </c>
      <c r="J31" s="80">
        <v>147.74</v>
      </c>
      <c r="K31" s="28">
        <v>149.13</v>
      </c>
      <c r="L31" s="80">
        <v>162.88</v>
      </c>
      <c r="M31" s="81">
        <v>171.02</v>
      </c>
      <c r="N31" s="82">
        <v>179.57</v>
      </c>
      <c r="O31" s="28">
        <v>188.55</v>
      </c>
      <c r="P31" s="80">
        <v>197.99</v>
      </c>
      <c r="Q31" s="28">
        <v>207.89</v>
      </c>
      <c r="R31" s="80">
        <v>218.28</v>
      </c>
      <c r="S31" s="81">
        <v>229.2</v>
      </c>
      <c r="T31" s="29">
        <v>240.66</v>
      </c>
      <c r="U31" s="30">
        <v>252.69</v>
      </c>
      <c r="V31" s="31">
        <v>265.32</v>
      </c>
      <c r="W31" s="30">
        <v>278.58</v>
      </c>
      <c r="X31" s="31">
        <v>292.51</v>
      </c>
      <c r="Y31" s="30">
        <v>307.14</v>
      </c>
      <c r="Z31" s="32">
        <v>322.49</v>
      </c>
    </row>
    <row r="32" spans="1:26" x14ac:dyDescent="0.2">
      <c r="A32" s="96">
        <v>35612</v>
      </c>
      <c r="B32" s="82">
        <v>120</v>
      </c>
      <c r="C32" s="28">
        <v>120</v>
      </c>
      <c r="D32" s="80">
        <v>120</v>
      </c>
      <c r="E32" s="28">
        <v>120</v>
      </c>
      <c r="F32" s="80">
        <v>121.54</v>
      </c>
      <c r="G32" s="81">
        <v>127.62</v>
      </c>
      <c r="H32" s="82">
        <v>134</v>
      </c>
      <c r="I32" s="28">
        <v>140.69999999999999</v>
      </c>
      <c r="J32" s="80">
        <v>147.74</v>
      </c>
      <c r="K32" s="28">
        <v>150.13</v>
      </c>
      <c r="L32" s="80">
        <v>162.88</v>
      </c>
      <c r="M32" s="81">
        <v>171.02</v>
      </c>
      <c r="N32" s="82">
        <v>179.57</v>
      </c>
      <c r="O32" s="28">
        <v>188.55</v>
      </c>
      <c r="P32" s="80">
        <v>197.99</v>
      </c>
      <c r="Q32" s="28">
        <v>207.89</v>
      </c>
      <c r="R32" s="80">
        <v>218.28</v>
      </c>
      <c r="S32" s="81">
        <v>229.2</v>
      </c>
      <c r="T32" s="29">
        <v>240.66</v>
      </c>
      <c r="U32" s="30">
        <v>252.69</v>
      </c>
      <c r="V32" s="31">
        <v>265.32</v>
      </c>
      <c r="W32" s="30">
        <v>278.58</v>
      </c>
      <c r="X32" s="31">
        <v>292.51</v>
      </c>
      <c r="Y32" s="30">
        <v>307.14</v>
      </c>
      <c r="Z32" s="32">
        <v>322.49</v>
      </c>
    </row>
    <row r="33" spans="1:26" x14ac:dyDescent="0.2">
      <c r="A33" s="96">
        <v>35643</v>
      </c>
      <c r="B33" s="82">
        <v>120</v>
      </c>
      <c r="C33" s="28">
        <v>120</v>
      </c>
      <c r="D33" s="80">
        <v>120</v>
      </c>
      <c r="E33" s="28">
        <v>120</v>
      </c>
      <c r="F33" s="80">
        <v>121.54</v>
      </c>
      <c r="G33" s="81">
        <v>127.62</v>
      </c>
      <c r="H33" s="82">
        <v>134</v>
      </c>
      <c r="I33" s="28">
        <v>140.69999999999999</v>
      </c>
      <c r="J33" s="80">
        <v>147.74</v>
      </c>
      <c r="K33" s="28">
        <v>151.13</v>
      </c>
      <c r="L33" s="80">
        <v>162.88</v>
      </c>
      <c r="M33" s="81">
        <v>171.02</v>
      </c>
      <c r="N33" s="82">
        <v>179.57</v>
      </c>
      <c r="O33" s="28">
        <v>188.55</v>
      </c>
      <c r="P33" s="80">
        <v>197.99</v>
      </c>
      <c r="Q33" s="28">
        <v>207.89</v>
      </c>
      <c r="R33" s="80">
        <v>218.28</v>
      </c>
      <c r="S33" s="81">
        <v>229.2</v>
      </c>
      <c r="T33" s="29">
        <v>240.66</v>
      </c>
      <c r="U33" s="30">
        <v>252.69</v>
      </c>
      <c r="V33" s="31">
        <v>265.32</v>
      </c>
      <c r="W33" s="30">
        <v>278.58</v>
      </c>
      <c r="X33" s="31">
        <v>292.51</v>
      </c>
      <c r="Y33" s="30">
        <v>307.14</v>
      </c>
      <c r="Z33" s="32">
        <v>322.49</v>
      </c>
    </row>
    <row r="34" spans="1:26" x14ac:dyDescent="0.2">
      <c r="A34" s="96">
        <v>35674</v>
      </c>
      <c r="B34" s="82">
        <v>120</v>
      </c>
      <c r="C34" s="28">
        <v>120</v>
      </c>
      <c r="D34" s="80">
        <v>120</v>
      </c>
      <c r="E34" s="28">
        <v>120</v>
      </c>
      <c r="F34" s="80">
        <v>121.54</v>
      </c>
      <c r="G34" s="81">
        <v>127.62</v>
      </c>
      <c r="H34" s="82">
        <v>134</v>
      </c>
      <c r="I34" s="28">
        <v>140.69999999999999</v>
      </c>
      <c r="J34" s="80">
        <v>147.74</v>
      </c>
      <c r="K34" s="28">
        <v>152.13</v>
      </c>
      <c r="L34" s="80">
        <v>162.88</v>
      </c>
      <c r="M34" s="81">
        <v>171.02</v>
      </c>
      <c r="N34" s="82">
        <v>179.57</v>
      </c>
      <c r="O34" s="28">
        <v>188.55</v>
      </c>
      <c r="P34" s="80">
        <v>197.99</v>
      </c>
      <c r="Q34" s="28">
        <v>207.89</v>
      </c>
      <c r="R34" s="80">
        <v>218.28</v>
      </c>
      <c r="S34" s="81">
        <v>229.2</v>
      </c>
      <c r="T34" s="29">
        <v>240.66</v>
      </c>
      <c r="U34" s="30">
        <v>252.69</v>
      </c>
      <c r="V34" s="31">
        <v>265.32</v>
      </c>
      <c r="W34" s="30">
        <v>278.58</v>
      </c>
      <c r="X34" s="31">
        <v>292.51</v>
      </c>
      <c r="Y34" s="30">
        <v>307.14</v>
      </c>
      <c r="Z34" s="32">
        <v>322.49</v>
      </c>
    </row>
    <row r="35" spans="1:26" x14ac:dyDescent="0.2">
      <c r="A35" s="96">
        <v>35704</v>
      </c>
      <c r="B35" s="82">
        <v>120</v>
      </c>
      <c r="C35" s="28">
        <v>120</v>
      </c>
      <c r="D35" s="80">
        <v>120</v>
      </c>
      <c r="E35" s="28">
        <v>120</v>
      </c>
      <c r="F35" s="80">
        <v>121.54</v>
      </c>
      <c r="G35" s="81">
        <v>127.62</v>
      </c>
      <c r="H35" s="82">
        <v>134</v>
      </c>
      <c r="I35" s="28">
        <v>140.69999999999999</v>
      </c>
      <c r="J35" s="80">
        <v>147.74</v>
      </c>
      <c r="K35" s="28">
        <v>153.13</v>
      </c>
      <c r="L35" s="80">
        <v>162.88</v>
      </c>
      <c r="M35" s="81">
        <v>171.02</v>
      </c>
      <c r="N35" s="82">
        <v>179.57</v>
      </c>
      <c r="O35" s="28">
        <v>188.55</v>
      </c>
      <c r="P35" s="80">
        <v>197.99</v>
      </c>
      <c r="Q35" s="28">
        <v>207.89</v>
      </c>
      <c r="R35" s="80">
        <v>218.28</v>
      </c>
      <c r="S35" s="81">
        <v>229.2</v>
      </c>
      <c r="T35" s="29">
        <v>240.66</v>
      </c>
      <c r="U35" s="30">
        <v>252.69</v>
      </c>
      <c r="V35" s="31">
        <v>265.32</v>
      </c>
      <c r="W35" s="30">
        <v>278.58</v>
      </c>
      <c r="X35" s="31">
        <v>292.51</v>
      </c>
      <c r="Y35" s="30">
        <v>307.14</v>
      </c>
      <c r="Z35" s="32">
        <v>322.49</v>
      </c>
    </row>
    <row r="36" spans="1:26" x14ac:dyDescent="0.2">
      <c r="A36" s="96">
        <v>35735</v>
      </c>
      <c r="B36" s="82">
        <v>120</v>
      </c>
      <c r="C36" s="28">
        <v>120</v>
      </c>
      <c r="D36" s="80">
        <v>120</v>
      </c>
      <c r="E36" s="28">
        <v>120</v>
      </c>
      <c r="F36" s="80">
        <v>121.54</v>
      </c>
      <c r="G36" s="81">
        <v>127.62</v>
      </c>
      <c r="H36" s="82">
        <v>134</v>
      </c>
      <c r="I36" s="28">
        <v>140.69999999999999</v>
      </c>
      <c r="J36" s="80">
        <v>147.74</v>
      </c>
      <c r="K36" s="28">
        <v>154.13</v>
      </c>
      <c r="L36" s="80">
        <v>162.88</v>
      </c>
      <c r="M36" s="81">
        <v>171.02</v>
      </c>
      <c r="N36" s="82">
        <v>179.57</v>
      </c>
      <c r="O36" s="28">
        <v>188.55</v>
      </c>
      <c r="P36" s="80">
        <v>197.99</v>
      </c>
      <c r="Q36" s="28">
        <v>207.89</v>
      </c>
      <c r="R36" s="80">
        <v>218.28</v>
      </c>
      <c r="S36" s="81">
        <v>229.2</v>
      </c>
      <c r="T36" s="29">
        <v>240.66</v>
      </c>
      <c r="U36" s="30">
        <v>252.69</v>
      </c>
      <c r="V36" s="31">
        <v>265.32</v>
      </c>
      <c r="W36" s="30">
        <v>278.58</v>
      </c>
      <c r="X36" s="31">
        <v>292.51</v>
      </c>
      <c r="Y36" s="30">
        <v>307.14</v>
      </c>
      <c r="Z36" s="32">
        <v>322.49</v>
      </c>
    </row>
    <row r="37" spans="1:26" ht="13.5" thickBot="1" x14ac:dyDescent="0.25">
      <c r="A37" s="96">
        <v>35765</v>
      </c>
      <c r="B37" s="90">
        <v>120</v>
      </c>
      <c r="C37" s="87">
        <v>120</v>
      </c>
      <c r="D37" s="88">
        <v>120</v>
      </c>
      <c r="E37" s="87">
        <v>120</v>
      </c>
      <c r="F37" s="88">
        <v>121.54</v>
      </c>
      <c r="G37" s="89">
        <v>127.62</v>
      </c>
      <c r="H37" s="90">
        <v>134</v>
      </c>
      <c r="I37" s="87">
        <v>140.69999999999999</v>
      </c>
      <c r="J37" s="88">
        <v>147.74</v>
      </c>
      <c r="K37" s="87">
        <v>155.13</v>
      </c>
      <c r="L37" s="88">
        <v>162.88</v>
      </c>
      <c r="M37" s="89">
        <v>171.02</v>
      </c>
      <c r="N37" s="90">
        <v>179.57</v>
      </c>
      <c r="O37" s="87">
        <v>188.55</v>
      </c>
      <c r="P37" s="88">
        <v>197.99</v>
      </c>
      <c r="Q37" s="87">
        <v>207.89</v>
      </c>
      <c r="R37" s="88">
        <v>218.28</v>
      </c>
      <c r="S37" s="89">
        <v>229.2</v>
      </c>
      <c r="T37" s="114">
        <v>240.66</v>
      </c>
      <c r="U37" s="115">
        <v>252.69</v>
      </c>
      <c r="V37" s="116">
        <v>265.32</v>
      </c>
      <c r="W37" s="115">
        <v>278.58</v>
      </c>
      <c r="X37" s="116">
        <v>292.51</v>
      </c>
      <c r="Y37" s="115">
        <v>307.14</v>
      </c>
      <c r="Z37" s="117">
        <v>322.49</v>
      </c>
    </row>
    <row r="38" spans="1:26" x14ac:dyDescent="0.2">
      <c r="A38" s="96">
        <v>35796</v>
      </c>
      <c r="B38" s="100">
        <v>120</v>
      </c>
      <c r="C38" s="101">
        <v>120</v>
      </c>
      <c r="D38" s="102">
        <v>120</v>
      </c>
      <c r="E38" s="101">
        <v>120</v>
      </c>
      <c r="F38" s="102">
        <v>121.54</v>
      </c>
      <c r="G38" s="103">
        <v>127.62</v>
      </c>
      <c r="H38" s="100">
        <v>134</v>
      </c>
      <c r="I38" s="101">
        <v>140.69999999999999</v>
      </c>
      <c r="J38" s="102">
        <v>147.74</v>
      </c>
      <c r="K38" s="101">
        <v>155.13</v>
      </c>
      <c r="L38" s="102">
        <v>162.88</v>
      </c>
      <c r="M38" s="103">
        <v>171.02</v>
      </c>
      <c r="N38" s="100">
        <v>179.57</v>
      </c>
      <c r="O38" s="101">
        <v>188.55</v>
      </c>
      <c r="P38" s="102">
        <v>197.99</v>
      </c>
      <c r="Q38" s="101">
        <v>207.89</v>
      </c>
      <c r="R38" s="102">
        <v>218.28</v>
      </c>
      <c r="S38" s="103">
        <v>229.2</v>
      </c>
      <c r="T38" s="110">
        <v>240.66</v>
      </c>
      <c r="U38" s="111">
        <v>252.69</v>
      </c>
      <c r="V38" s="112">
        <v>265.32</v>
      </c>
      <c r="W38" s="111">
        <v>278.58</v>
      </c>
      <c r="X38" s="112">
        <v>292.51</v>
      </c>
      <c r="Y38" s="111">
        <v>307.14</v>
      </c>
      <c r="Z38" s="113">
        <v>322.49</v>
      </c>
    </row>
    <row r="39" spans="1:26" x14ac:dyDescent="0.2">
      <c r="A39" s="96">
        <v>35827</v>
      </c>
      <c r="B39" s="82">
        <v>157.5</v>
      </c>
      <c r="C39" s="28">
        <v>157.5</v>
      </c>
      <c r="D39" s="80">
        <v>157.5</v>
      </c>
      <c r="E39" s="28">
        <v>157.5</v>
      </c>
      <c r="F39" s="80">
        <v>159.52000000000001</v>
      </c>
      <c r="G39" s="81">
        <v>167.5</v>
      </c>
      <c r="H39" s="82">
        <v>175.88</v>
      </c>
      <c r="I39" s="28">
        <v>184.67</v>
      </c>
      <c r="J39" s="80">
        <v>193.91</v>
      </c>
      <c r="K39" s="28">
        <v>203.61</v>
      </c>
      <c r="L39" s="80">
        <v>213.78</v>
      </c>
      <c r="M39" s="81">
        <v>224.46</v>
      </c>
      <c r="N39" s="82">
        <v>235.69</v>
      </c>
      <c r="O39" s="28">
        <v>247.47</v>
      </c>
      <c r="P39" s="80">
        <v>259.86</v>
      </c>
      <c r="Q39" s="28">
        <v>272.86</v>
      </c>
      <c r="R39" s="80">
        <v>286.49</v>
      </c>
      <c r="S39" s="81">
        <v>300.83</v>
      </c>
      <c r="T39" s="29">
        <v>315.87</v>
      </c>
      <c r="U39" s="30">
        <v>331.66</v>
      </c>
      <c r="V39" s="31">
        <v>348.23</v>
      </c>
      <c r="W39" s="30">
        <v>365.64</v>
      </c>
      <c r="X39" s="31">
        <v>383.92</v>
      </c>
      <c r="Y39" s="30">
        <v>403.12</v>
      </c>
      <c r="Z39" s="32">
        <v>423.27</v>
      </c>
    </row>
    <row r="40" spans="1:26" x14ac:dyDescent="0.2">
      <c r="A40" s="96">
        <v>35855</v>
      </c>
      <c r="B40" s="82">
        <v>157.5</v>
      </c>
      <c r="C40" s="28">
        <v>157.5</v>
      </c>
      <c r="D40" s="80">
        <v>157.5</v>
      </c>
      <c r="E40" s="28">
        <v>157.5</v>
      </c>
      <c r="F40" s="80">
        <v>159.52000000000001</v>
      </c>
      <c r="G40" s="81">
        <v>167.5</v>
      </c>
      <c r="H40" s="82">
        <v>175.88</v>
      </c>
      <c r="I40" s="28">
        <v>184.67</v>
      </c>
      <c r="J40" s="80">
        <v>193.91</v>
      </c>
      <c r="K40" s="28">
        <v>203.61</v>
      </c>
      <c r="L40" s="80">
        <v>213.78</v>
      </c>
      <c r="M40" s="81">
        <v>224.46</v>
      </c>
      <c r="N40" s="82">
        <v>235.69</v>
      </c>
      <c r="O40" s="28">
        <v>247.47</v>
      </c>
      <c r="P40" s="80">
        <v>259.86</v>
      </c>
      <c r="Q40" s="28">
        <v>272.86</v>
      </c>
      <c r="R40" s="80">
        <v>286.49</v>
      </c>
      <c r="S40" s="81">
        <v>300.83</v>
      </c>
      <c r="T40" s="29">
        <v>315.87</v>
      </c>
      <c r="U40" s="30">
        <v>331.66</v>
      </c>
      <c r="V40" s="31">
        <v>348.23</v>
      </c>
      <c r="W40" s="30">
        <v>365.64</v>
      </c>
      <c r="X40" s="31">
        <v>383.92</v>
      </c>
      <c r="Y40" s="30">
        <v>403.12</v>
      </c>
      <c r="Z40" s="32">
        <v>423.27</v>
      </c>
    </row>
    <row r="41" spans="1:26" x14ac:dyDescent="0.2">
      <c r="A41" s="96">
        <v>35886</v>
      </c>
      <c r="B41" s="82">
        <v>157.5</v>
      </c>
      <c r="C41" s="28">
        <v>157.5</v>
      </c>
      <c r="D41" s="80">
        <v>157.5</v>
      </c>
      <c r="E41" s="28">
        <v>157.5</v>
      </c>
      <c r="F41" s="80">
        <v>159.52000000000001</v>
      </c>
      <c r="G41" s="81">
        <v>167.5</v>
      </c>
      <c r="H41" s="82">
        <v>175.88</v>
      </c>
      <c r="I41" s="28">
        <v>184.67</v>
      </c>
      <c r="J41" s="80">
        <v>193.91</v>
      </c>
      <c r="K41" s="28">
        <v>203.61</v>
      </c>
      <c r="L41" s="80">
        <v>213.78</v>
      </c>
      <c r="M41" s="81">
        <v>224.46</v>
      </c>
      <c r="N41" s="82">
        <v>235.69</v>
      </c>
      <c r="O41" s="28">
        <v>247.47</v>
      </c>
      <c r="P41" s="80">
        <v>259.86</v>
      </c>
      <c r="Q41" s="28">
        <v>272.86</v>
      </c>
      <c r="R41" s="80">
        <v>286.49</v>
      </c>
      <c r="S41" s="81">
        <v>300.83</v>
      </c>
      <c r="T41" s="29">
        <v>315.87</v>
      </c>
      <c r="U41" s="30">
        <v>331.66</v>
      </c>
      <c r="V41" s="31">
        <v>348.23</v>
      </c>
      <c r="W41" s="30">
        <v>365.64</v>
      </c>
      <c r="X41" s="31">
        <v>383.92</v>
      </c>
      <c r="Y41" s="30">
        <v>403.12</v>
      </c>
      <c r="Z41" s="32">
        <v>423.27</v>
      </c>
    </row>
    <row r="42" spans="1:26" x14ac:dyDescent="0.2">
      <c r="A42" s="96">
        <v>35916</v>
      </c>
      <c r="B42" s="82">
        <v>157.5</v>
      </c>
      <c r="C42" s="28">
        <v>157.5</v>
      </c>
      <c r="D42" s="80">
        <v>157.5</v>
      </c>
      <c r="E42" s="28">
        <v>157.5</v>
      </c>
      <c r="F42" s="80">
        <v>159.52000000000001</v>
      </c>
      <c r="G42" s="81">
        <v>167.5</v>
      </c>
      <c r="H42" s="82">
        <v>175.88</v>
      </c>
      <c r="I42" s="28">
        <v>184.67</v>
      </c>
      <c r="J42" s="80">
        <v>193.91</v>
      </c>
      <c r="K42" s="28">
        <v>203.61</v>
      </c>
      <c r="L42" s="80">
        <v>213.78</v>
      </c>
      <c r="M42" s="81">
        <v>224.46</v>
      </c>
      <c r="N42" s="82">
        <v>235.69</v>
      </c>
      <c r="O42" s="28">
        <v>247.47</v>
      </c>
      <c r="P42" s="80">
        <v>259.86</v>
      </c>
      <c r="Q42" s="28">
        <v>272.86</v>
      </c>
      <c r="R42" s="80">
        <v>286.49</v>
      </c>
      <c r="S42" s="81">
        <v>300.83</v>
      </c>
      <c r="T42" s="29">
        <v>315.87</v>
      </c>
      <c r="U42" s="30">
        <v>331.66</v>
      </c>
      <c r="V42" s="31">
        <v>348.23</v>
      </c>
      <c r="W42" s="30">
        <v>365.64</v>
      </c>
      <c r="X42" s="31">
        <v>383.92</v>
      </c>
      <c r="Y42" s="30">
        <v>403.12</v>
      </c>
      <c r="Z42" s="32">
        <v>423.27</v>
      </c>
    </row>
    <row r="43" spans="1:26" x14ac:dyDescent="0.2">
      <c r="A43" s="96">
        <v>35947</v>
      </c>
      <c r="B43" s="82">
        <v>157.5</v>
      </c>
      <c r="C43" s="28">
        <v>157.5</v>
      </c>
      <c r="D43" s="80">
        <v>157.5</v>
      </c>
      <c r="E43" s="28">
        <v>157.5</v>
      </c>
      <c r="F43" s="80">
        <v>159.52000000000001</v>
      </c>
      <c r="G43" s="81">
        <v>167.5</v>
      </c>
      <c r="H43" s="82">
        <v>175.88</v>
      </c>
      <c r="I43" s="28">
        <v>184.67</v>
      </c>
      <c r="J43" s="80">
        <v>193.91</v>
      </c>
      <c r="K43" s="28">
        <v>203.61</v>
      </c>
      <c r="L43" s="80">
        <v>213.78</v>
      </c>
      <c r="M43" s="81">
        <v>224.46</v>
      </c>
      <c r="N43" s="82">
        <v>235.69</v>
      </c>
      <c r="O43" s="28">
        <v>247.47</v>
      </c>
      <c r="P43" s="80">
        <v>259.86</v>
      </c>
      <c r="Q43" s="28">
        <v>272.86</v>
      </c>
      <c r="R43" s="80">
        <v>286.49</v>
      </c>
      <c r="S43" s="81">
        <v>300.83</v>
      </c>
      <c r="T43" s="29">
        <v>315.87</v>
      </c>
      <c r="U43" s="30">
        <v>331.66</v>
      </c>
      <c r="V43" s="31">
        <v>348.23</v>
      </c>
      <c r="W43" s="30">
        <v>365.64</v>
      </c>
      <c r="X43" s="31">
        <v>383.92</v>
      </c>
      <c r="Y43" s="30">
        <v>403.12</v>
      </c>
      <c r="Z43" s="32">
        <v>423.27</v>
      </c>
    </row>
    <row r="44" spans="1:26" x14ac:dyDescent="0.2">
      <c r="A44" s="96">
        <v>35977</v>
      </c>
      <c r="B44" s="82">
        <v>157.5</v>
      </c>
      <c r="C44" s="28">
        <v>157.5</v>
      </c>
      <c r="D44" s="80">
        <v>157.5</v>
      </c>
      <c r="E44" s="28">
        <v>157.5</v>
      </c>
      <c r="F44" s="80">
        <v>159.52000000000001</v>
      </c>
      <c r="G44" s="81">
        <v>167.5</v>
      </c>
      <c r="H44" s="82">
        <v>175.88</v>
      </c>
      <c r="I44" s="28">
        <v>184.67</v>
      </c>
      <c r="J44" s="80">
        <v>193.91</v>
      </c>
      <c r="K44" s="28">
        <v>203.61</v>
      </c>
      <c r="L44" s="80">
        <v>213.78</v>
      </c>
      <c r="M44" s="81">
        <v>224.46</v>
      </c>
      <c r="N44" s="82">
        <v>235.69</v>
      </c>
      <c r="O44" s="28">
        <v>247.47</v>
      </c>
      <c r="P44" s="80">
        <v>259.86</v>
      </c>
      <c r="Q44" s="28">
        <v>272.86</v>
      </c>
      <c r="R44" s="80">
        <v>286.49</v>
      </c>
      <c r="S44" s="81">
        <v>300.83</v>
      </c>
      <c r="T44" s="29">
        <v>315.87</v>
      </c>
      <c r="U44" s="30">
        <v>331.66</v>
      </c>
      <c r="V44" s="31">
        <v>348.23</v>
      </c>
      <c r="W44" s="30">
        <v>365.64</v>
      </c>
      <c r="X44" s="31">
        <v>383.92</v>
      </c>
      <c r="Y44" s="30">
        <v>403.12</v>
      </c>
      <c r="Z44" s="32">
        <v>423.27</v>
      </c>
    </row>
    <row r="45" spans="1:26" x14ac:dyDescent="0.2">
      <c r="A45" s="96">
        <v>36008</v>
      </c>
      <c r="B45" s="82">
        <v>157.5</v>
      </c>
      <c r="C45" s="28">
        <v>157.5</v>
      </c>
      <c r="D45" s="80">
        <v>157.5</v>
      </c>
      <c r="E45" s="28">
        <v>157.5</v>
      </c>
      <c r="F45" s="80">
        <v>159.52000000000001</v>
      </c>
      <c r="G45" s="81">
        <v>167.5</v>
      </c>
      <c r="H45" s="82">
        <v>175.88</v>
      </c>
      <c r="I45" s="28">
        <v>184.67</v>
      </c>
      <c r="J45" s="80">
        <v>193.91</v>
      </c>
      <c r="K45" s="28">
        <v>203.61</v>
      </c>
      <c r="L45" s="80">
        <v>213.78</v>
      </c>
      <c r="M45" s="81">
        <v>224.46</v>
      </c>
      <c r="N45" s="82">
        <v>235.69</v>
      </c>
      <c r="O45" s="28">
        <v>247.47</v>
      </c>
      <c r="P45" s="80">
        <v>259.86</v>
      </c>
      <c r="Q45" s="28">
        <v>272.86</v>
      </c>
      <c r="R45" s="80">
        <v>286.49</v>
      </c>
      <c r="S45" s="81">
        <v>300.83</v>
      </c>
      <c r="T45" s="29">
        <v>315.87</v>
      </c>
      <c r="U45" s="30">
        <v>331.66</v>
      </c>
      <c r="V45" s="31">
        <v>348.23</v>
      </c>
      <c r="W45" s="30">
        <v>365.64</v>
      </c>
      <c r="X45" s="31">
        <v>383.92</v>
      </c>
      <c r="Y45" s="30">
        <v>403.12</v>
      </c>
      <c r="Z45" s="32">
        <v>423.27</v>
      </c>
    </row>
    <row r="46" spans="1:26" x14ac:dyDescent="0.2">
      <c r="A46" s="96">
        <v>36039</v>
      </c>
      <c r="B46" s="82">
        <v>157.5</v>
      </c>
      <c r="C46" s="28">
        <v>157.5</v>
      </c>
      <c r="D46" s="80">
        <v>157.5</v>
      </c>
      <c r="E46" s="28">
        <v>157.5</v>
      </c>
      <c r="F46" s="80">
        <v>159.52000000000001</v>
      </c>
      <c r="G46" s="81">
        <v>167.5</v>
      </c>
      <c r="H46" s="82">
        <v>175.88</v>
      </c>
      <c r="I46" s="28">
        <v>184.67</v>
      </c>
      <c r="J46" s="80">
        <v>193.91</v>
      </c>
      <c r="K46" s="28">
        <v>203.61</v>
      </c>
      <c r="L46" s="80">
        <v>213.78</v>
      </c>
      <c r="M46" s="81">
        <v>224.46</v>
      </c>
      <c r="N46" s="82">
        <v>235.69</v>
      </c>
      <c r="O46" s="28">
        <v>247.47</v>
      </c>
      <c r="P46" s="80">
        <v>259.86</v>
      </c>
      <c r="Q46" s="28">
        <v>272.86</v>
      </c>
      <c r="R46" s="80">
        <v>286.49</v>
      </c>
      <c r="S46" s="81">
        <v>300.83</v>
      </c>
      <c r="T46" s="29">
        <v>315.87</v>
      </c>
      <c r="U46" s="30">
        <v>331.66</v>
      </c>
      <c r="V46" s="31">
        <v>348.23</v>
      </c>
      <c r="W46" s="30">
        <v>365.64</v>
      </c>
      <c r="X46" s="31">
        <v>383.92</v>
      </c>
      <c r="Y46" s="30">
        <v>403.12</v>
      </c>
      <c r="Z46" s="32">
        <v>423.27</v>
      </c>
    </row>
    <row r="47" spans="1:26" x14ac:dyDescent="0.2">
      <c r="A47" s="96">
        <v>36069</v>
      </c>
      <c r="B47" s="82">
        <v>157.5</v>
      </c>
      <c r="C47" s="28">
        <v>157.5</v>
      </c>
      <c r="D47" s="80">
        <v>157.5</v>
      </c>
      <c r="E47" s="28">
        <v>157.5</v>
      </c>
      <c r="F47" s="80">
        <v>159.52000000000001</v>
      </c>
      <c r="G47" s="81">
        <v>167.5</v>
      </c>
      <c r="H47" s="82">
        <v>175.88</v>
      </c>
      <c r="I47" s="28">
        <v>184.67</v>
      </c>
      <c r="J47" s="80">
        <v>193.91</v>
      </c>
      <c r="K47" s="28">
        <v>203.61</v>
      </c>
      <c r="L47" s="80">
        <v>213.78</v>
      </c>
      <c r="M47" s="81">
        <v>224.46</v>
      </c>
      <c r="N47" s="82">
        <v>235.69</v>
      </c>
      <c r="O47" s="28">
        <v>247.47</v>
      </c>
      <c r="P47" s="80">
        <v>259.86</v>
      </c>
      <c r="Q47" s="28">
        <v>272.86</v>
      </c>
      <c r="R47" s="80">
        <v>286.49</v>
      </c>
      <c r="S47" s="81">
        <v>300.83</v>
      </c>
      <c r="T47" s="29">
        <v>315.87</v>
      </c>
      <c r="U47" s="30">
        <v>331.66</v>
      </c>
      <c r="V47" s="31">
        <v>348.23</v>
      </c>
      <c r="W47" s="30">
        <v>365.64</v>
      </c>
      <c r="X47" s="31">
        <v>383.92</v>
      </c>
      <c r="Y47" s="30">
        <v>403.12</v>
      </c>
      <c r="Z47" s="32">
        <v>423.27</v>
      </c>
    </row>
    <row r="48" spans="1:26" x14ac:dyDescent="0.2">
      <c r="A48" s="96">
        <v>36100</v>
      </c>
      <c r="B48" s="82">
        <v>157.5</v>
      </c>
      <c r="C48" s="28">
        <v>157.5</v>
      </c>
      <c r="D48" s="80">
        <v>157.5</v>
      </c>
      <c r="E48" s="28">
        <v>157.5</v>
      </c>
      <c r="F48" s="80">
        <v>159.52000000000001</v>
      </c>
      <c r="G48" s="81">
        <v>167.5</v>
      </c>
      <c r="H48" s="82">
        <v>175.88</v>
      </c>
      <c r="I48" s="28">
        <v>184.67</v>
      </c>
      <c r="J48" s="80">
        <v>193.91</v>
      </c>
      <c r="K48" s="28">
        <v>203.61</v>
      </c>
      <c r="L48" s="80">
        <v>213.78</v>
      </c>
      <c r="M48" s="81">
        <v>224.46</v>
      </c>
      <c r="N48" s="82">
        <v>235.69</v>
      </c>
      <c r="O48" s="28">
        <v>247.47</v>
      </c>
      <c r="P48" s="80">
        <v>259.86</v>
      </c>
      <c r="Q48" s="28">
        <v>272.86</v>
      </c>
      <c r="R48" s="80">
        <v>286.49</v>
      </c>
      <c r="S48" s="81">
        <v>300.83</v>
      </c>
      <c r="T48" s="29">
        <v>315.87</v>
      </c>
      <c r="U48" s="30">
        <v>331.66</v>
      </c>
      <c r="V48" s="31">
        <v>348.23</v>
      </c>
      <c r="W48" s="30">
        <v>365.64</v>
      </c>
      <c r="X48" s="31">
        <v>383.92</v>
      </c>
      <c r="Y48" s="30">
        <v>403.12</v>
      </c>
      <c r="Z48" s="32">
        <v>423.27</v>
      </c>
    </row>
    <row r="49" spans="1:26" ht="13.5" thickBot="1" x14ac:dyDescent="0.25">
      <c r="A49" s="96">
        <v>36130</v>
      </c>
      <c r="B49" s="90">
        <v>157.5</v>
      </c>
      <c r="C49" s="87">
        <v>157.5</v>
      </c>
      <c r="D49" s="88">
        <v>157.5</v>
      </c>
      <c r="E49" s="87">
        <v>157.5</v>
      </c>
      <c r="F49" s="88">
        <v>159.52000000000001</v>
      </c>
      <c r="G49" s="89">
        <v>167.5</v>
      </c>
      <c r="H49" s="90">
        <v>175.88</v>
      </c>
      <c r="I49" s="87">
        <v>184.67</v>
      </c>
      <c r="J49" s="88">
        <v>193.91</v>
      </c>
      <c r="K49" s="87">
        <v>203.61</v>
      </c>
      <c r="L49" s="88">
        <v>213.78</v>
      </c>
      <c r="M49" s="89">
        <v>224.46</v>
      </c>
      <c r="N49" s="90">
        <v>235.69</v>
      </c>
      <c r="O49" s="87">
        <v>247.47</v>
      </c>
      <c r="P49" s="88">
        <v>259.86</v>
      </c>
      <c r="Q49" s="87">
        <v>272.86</v>
      </c>
      <c r="R49" s="88">
        <v>286.49</v>
      </c>
      <c r="S49" s="89">
        <v>300.83</v>
      </c>
      <c r="T49" s="114">
        <v>315.87</v>
      </c>
      <c r="U49" s="115">
        <v>331.66</v>
      </c>
      <c r="V49" s="116">
        <v>348.23</v>
      </c>
      <c r="W49" s="115">
        <v>365.64</v>
      </c>
      <c r="X49" s="116">
        <v>383.92</v>
      </c>
      <c r="Y49" s="115">
        <v>403.12</v>
      </c>
      <c r="Z49" s="117">
        <v>423.27</v>
      </c>
    </row>
    <row r="50" spans="1:26" x14ac:dyDescent="0.2">
      <c r="A50" s="96">
        <v>36161</v>
      </c>
      <c r="B50" s="100">
        <v>157.5</v>
      </c>
      <c r="C50" s="101">
        <v>157.5</v>
      </c>
      <c r="D50" s="102">
        <v>157.5</v>
      </c>
      <c r="E50" s="101">
        <v>157.5</v>
      </c>
      <c r="F50" s="102">
        <v>159.52000000000001</v>
      </c>
      <c r="G50" s="103">
        <v>167.5</v>
      </c>
      <c r="H50" s="100">
        <v>175.88</v>
      </c>
      <c r="I50" s="101">
        <v>184.67</v>
      </c>
      <c r="J50" s="102">
        <v>193.91</v>
      </c>
      <c r="K50" s="101">
        <v>203.61</v>
      </c>
      <c r="L50" s="102">
        <v>213.78</v>
      </c>
      <c r="M50" s="103">
        <v>224.46</v>
      </c>
      <c r="N50" s="100">
        <v>235.69</v>
      </c>
      <c r="O50" s="101">
        <v>247.47</v>
      </c>
      <c r="P50" s="102">
        <v>259.86</v>
      </c>
      <c r="Q50" s="101">
        <v>272.86</v>
      </c>
      <c r="R50" s="102">
        <v>286.49</v>
      </c>
      <c r="S50" s="103">
        <v>300.83</v>
      </c>
      <c r="T50" s="110">
        <v>315.87</v>
      </c>
      <c r="U50" s="111">
        <v>331.66</v>
      </c>
      <c r="V50" s="112">
        <v>348.23</v>
      </c>
      <c r="W50" s="111">
        <v>365.64</v>
      </c>
      <c r="X50" s="112">
        <v>383.92</v>
      </c>
      <c r="Y50" s="111">
        <v>403.12</v>
      </c>
      <c r="Z50" s="113">
        <v>423.27</v>
      </c>
    </row>
    <row r="51" spans="1:26" x14ac:dyDescent="0.2">
      <c r="A51" s="96">
        <v>36192</v>
      </c>
      <c r="B51" s="82">
        <v>157.5</v>
      </c>
      <c r="C51" s="28">
        <v>157.5</v>
      </c>
      <c r="D51" s="80">
        <v>157.5</v>
      </c>
      <c r="E51" s="28">
        <v>157.5</v>
      </c>
      <c r="F51" s="80">
        <v>159.52000000000001</v>
      </c>
      <c r="G51" s="81">
        <v>167.5</v>
      </c>
      <c r="H51" s="82">
        <v>175.88</v>
      </c>
      <c r="I51" s="28">
        <v>184.67</v>
      </c>
      <c r="J51" s="80">
        <v>193.91</v>
      </c>
      <c r="K51" s="28">
        <v>203.61</v>
      </c>
      <c r="L51" s="80">
        <v>213.78</v>
      </c>
      <c r="M51" s="81">
        <v>224.46</v>
      </c>
      <c r="N51" s="82">
        <v>235.69</v>
      </c>
      <c r="O51" s="28">
        <v>247.47</v>
      </c>
      <c r="P51" s="80">
        <v>259.86</v>
      </c>
      <c r="Q51" s="28">
        <v>272.86</v>
      </c>
      <c r="R51" s="80">
        <v>286.49</v>
      </c>
      <c r="S51" s="81">
        <v>300.83</v>
      </c>
      <c r="T51" s="29">
        <v>315.87</v>
      </c>
      <c r="U51" s="30">
        <v>331.66</v>
      </c>
      <c r="V51" s="31">
        <v>348.23</v>
      </c>
      <c r="W51" s="30">
        <v>365.64</v>
      </c>
      <c r="X51" s="31">
        <v>383.92</v>
      </c>
      <c r="Y51" s="30">
        <v>403.12</v>
      </c>
      <c r="Z51" s="32">
        <v>423.27</v>
      </c>
    </row>
    <row r="52" spans="1:26" x14ac:dyDescent="0.2">
      <c r="A52" s="96">
        <v>36220</v>
      </c>
      <c r="B52" s="82">
        <v>157.5</v>
      </c>
      <c r="C52" s="28">
        <v>157.5</v>
      </c>
      <c r="D52" s="80">
        <v>157.5</v>
      </c>
      <c r="E52" s="28">
        <v>157.5</v>
      </c>
      <c r="F52" s="80">
        <v>159.52000000000001</v>
      </c>
      <c r="G52" s="81">
        <v>167.5</v>
      </c>
      <c r="H52" s="82">
        <v>175.88</v>
      </c>
      <c r="I52" s="28">
        <v>184.67</v>
      </c>
      <c r="J52" s="80">
        <v>193.91</v>
      </c>
      <c r="K52" s="28">
        <v>203.61</v>
      </c>
      <c r="L52" s="80">
        <v>213.78</v>
      </c>
      <c r="M52" s="81">
        <v>224.46</v>
      </c>
      <c r="N52" s="82">
        <v>235.69</v>
      </c>
      <c r="O52" s="28">
        <v>247.47</v>
      </c>
      <c r="P52" s="80">
        <v>259.86</v>
      </c>
      <c r="Q52" s="28">
        <v>272.86</v>
      </c>
      <c r="R52" s="80">
        <v>286.49</v>
      </c>
      <c r="S52" s="81">
        <v>300.83</v>
      </c>
      <c r="T52" s="29">
        <v>315.87</v>
      </c>
      <c r="U52" s="30">
        <v>331.66</v>
      </c>
      <c r="V52" s="31">
        <v>348.23</v>
      </c>
      <c r="W52" s="30">
        <v>365.64</v>
      </c>
      <c r="X52" s="31">
        <v>383.92</v>
      </c>
      <c r="Y52" s="30">
        <v>403.12</v>
      </c>
      <c r="Z52" s="32">
        <v>423.27</v>
      </c>
    </row>
    <row r="53" spans="1:26" x14ac:dyDescent="0.2">
      <c r="A53" s="96">
        <v>36251</v>
      </c>
      <c r="B53" s="82">
        <v>157.5</v>
      </c>
      <c r="C53" s="28">
        <v>157.5</v>
      </c>
      <c r="D53" s="80">
        <v>157.5</v>
      </c>
      <c r="E53" s="28">
        <v>157.5</v>
      </c>
      <c r="F53" s="80">
        <v>159.52000000000001</v>
      </c>
      <c r="G53" s="81">
        <v>167.5</v>
      </c>
      <c r="H53" s="82">
        <v>175.88</v>
      </c>
      <c r="I53" s="28">
        <v>184.67</v>
      </c>
      <c r="J53" s="80">
        <v>193.91</v>
      </c>
      <c r="K53" s="28">
        <v>203.61</v>
      </c>
      <c r="L53" s="80">
        <v>213.78</v>
      </c>
      <c r="M53" s="81">
        <v>224.46</v>
      </c>
      <c r="N53" s="82">
        <v>235.69</v>
      </c>
      <c r="O53" s="28">
        <v>247.47</v>
      </c>
      <c r="P53" s="80">
        <v>259.86</v>
      </c>
      <c r="Q53" s="28">
        <v>272.86</v>
      </c>
      <c r="R53" s="80">
        <v>286.49</v>
      </c>
      <c r="S53" s="81">
        <v>300.83</v>
      </c>
      <c r="T53" s="29">
        <v>315.87</v>
      </c>
      <c r="U53" s="30">
        <v>331.66</v>
      </c>
      <c r="V53" s="31">
        <v>348.23</v>
      </c>
      <c r="W53" s="30">
        <v>365.64</v>
      </c>
      <c r="X53" s="31">
        <v>383.92</v>
      </c>
      <c r="Y53" s="30">
        <v>403.12</v>
      </c>
      <c r="Z53" s="32">
        <v>423.27</v>
      </c>
    </row>
    <row r="54" spans="1:26" x14ac:dyDescent="0.2">
      <c r="A54" s="96">
        <v>36281</v>
      </c>
      <c r="B54" s="82">
        <v>157.5</v>
      </c>
      <c r="C54" s="28">
        <v>157.5</v>
      </c>
      <c r="D54" s="80">
        <v>157.5</v>
      </c>
      <c r="E54" s="28">
        <v>157.5</v>
      </c>
      <c r="F54" s="80">
        <v>159.52000000000001</v>
      </c>
      <c r="G54" s="81">
        <v>167.5</v>
      </c>
      <c r="H54" s="82">
        <v>175.88</v>
      </c>
      <c r="I54" s="28">
        <v>184.67</v>
      </c>
      <c r="J54" s="80">
        <v>193.91</v>
      </c>
      <c r="K54" s="28">
        <v>203.61</v>
      </c>
      <c r="L54" s="80">
        <v>213.78</v>
      </c>
      <c r="M54" s="81">
        <v>224.46</v>
      </c>
      <c r="N54" s="82">
        <v>235.69</v>
      </c>
      <c r="O54" s="28">
        <v>247.47</v>
      </c>
      <c r="P54" s="80">
        <v>259.86</v>
      </c>
      <c r="Q54" s="28">
        <v>272.86</v>
      </c>
      <c r="R54" s="80">
        <v>286.49</v>
      </c>
      <c r="S54" s="81">
        <v>300.83</v>
      </c>
      <c r="T54" s="29">
        <v>315.87</v>
      </c>
      <c r="U54" s="30">
        <v>331.66</v>
      </c>
      <c r="V54" s="31">
        <v>348.23</v>
      </c>
      <c r="W54" s="30">
        <v>365.64</v>
      </c>
      <c r="X54" s="31">
        <v>383.92</v>
      </c>
      <c r="Y54" s="30">
        <v>403.12</v>
      </c>
      <c r="Z54" s="32">
        <v>423.27</v>
      </c>
    </row>
    <row r="55" spans="1:26" x14ac:dyDescent="0.2">
      <c r="A55" s="96">
        <v>36312</v>
      </c>
      <c r="B55" s="82">
        <v>157.5</v>
      </c>
      <c r="C55" s="28">
        <v>157.5</v>
      </c>
      <c r="D55" s="80">
        <v>157.5</v>
      </c>
      <c r="E55" s="28">
        <v>157.5</v>
      </c>
      <c r="F55" s="80">
        <v>159.52000000000001</v>
      </c>
      <c r="G55" s="81">
        <v>167.5</v>
      </c>
      <c r="H55" s="82">
        <v>175.88</v>
      </c>
      <c r="I55" s="28">
        <v>184.67</v>
      </c>
      <c r="J55" s="80">
        <v>193.91</v>
      </c>
      <c r="K55" s="28">
        <v>203.61</v>
      </c>
      <c r="L55" s="80">
        <v>213.78</v>
      </c>
      <c r="M55" s="81">
        <v>224.46</v>
      </c>
      <c r="N55" s="82">
        <v>235.69</v>
      </c>
      <c r="O55" s="28">
        <v>247.47</v>
      </c>
      <c r="P55" s="80">
        <v>259.86</v>
      </c>
      <c r="Q55" s="28">
        <v>272.86</v>
      </c>
      <c r="R55" s="80">
        <v>286.49</v>
      </c>
      <c r="S55" s="81">
        <v>300.83</v>
      </c>
      <c r="T55" s="29">
        <v>315.87</v>
      </c>
      <c r="U55" s="30">
        <v>331.66</v>
      </c>
      <c r="V55" s="31">
        <v>348.23</v>
      </c>
      <c r="W55" s="30">
        <v>365.64</v>
      </c>
      <c r="X55" s="31">
        <v>383.92</v>
      </c>
      <c r="Y55" s="30">
        <v>403.12</v>
      </c>
      <c r="Z55" s="32">
        <v>423.27</v>
      </c>
    </row>
    <row r="56" spans="1:26" x14ac:dyDescent="0.2">
      <c r="A56" s="96">
        <v>36342</v>
      </c>
      <c r="B56" s="82">
        <v>157.5</v>
      </c>
      <c r="C56" s="28">
        <v>157.5</v>
      </c>
      <c r="D56" s="80">
        <v>157.5</v>
      </c>
      <c r="E56" s="28">
        <v>157.5</v>
      </c>
      <c r="F56" s="80">
        <v>159.52000000000001</v>
      </c>
      <c r="G56" s="81">
        <v>167.5</v>
      </c>
      <c r="H56" s="82">
        <v>175.88</v>
      </c>
      <c r="I56" s="28">
        <v>184.67</v>
      </c>
      <c r="J56" s="80">
        <v>193.91</v>
      </c>
      <c r="K56" s="28">
        <v>203.61</v>
      </c>
      <c r="L56" s="80">
        <v>213.78</v>
      </c>
      <c r="M56" s="81">
        <v>224.46</v>
      </c>
      <c r="N56" s="82">
        <v>235.69</v>
      </c>
      <c r="O56" s="28">
        <v>247.47</v>
      </c>
      <c r="P56" s="80">
        <v>259.86</v>
      </c>
      <c r="Q56" s="28">
        <v>272.86</v>
      </c>
      <c r="R56" s="80">
        <v>286.49</v>
      </c>
      <c r="S56" s="81">
        <v>300.83</v>
      </c>
      <c r="T56" s="29">
        <v>315.87</v>
      </c>
      <c r="U56" s="30">
        <v>331.66</v>
      </c>
      <c r="V56" s="31">
        <v>348.23</v>
      </c>
      <c r="W56" s="30">
        <v>365.64</v>
      </c>
      <c r="X56" s="31">
        <v>383.92</v>
      </c>
      <c r="Y56" s="30">
        <v>403.12</v>
      </c>
      <c r="Z56" s="32">
        <v>423.27</v>
      </c>
    </row>
    <row r="57" spans="1:26" x14ac:dyDescent="0.2">
      <c r="A57" s="96">
        <v>36373</v>
      </c>
      <c r="B57" s="82">
        <v>157.5</v>
      </c>
      <c r="C57" s="28">
        <v>157.5</v>
      </c>
      <c r="D57" s="80">
        <v>157.5</v>
      </c>
      <c r="E57" s="28">
        <v>157.5</v>
      </c>
      <c r="F57" s="80">
        <v>159.52000000000001</v>
      </c>
      <c r="G57" s="81">
        <v>167.5</v>
      </c>
      <c r="H57" s="82">
        <v>175.88</v>
      </c>
      <c r="I57" s="28">
        <v>184.67</v>
      </c>
      <c r="J57" s="80">
        <v>193.91</v>
      </c>
      <c r="K57" s="28">
        <v>203.61</v>
      </c>
      <c r="L57" s="80">
        <v>213.78</v>
      </c>
      <c r="M57" s="81">
        <v>224.46</v>
      </c>
      <c r="N57" s="82">
        <v>235.69</v>
      </c>
      <c r="O57" s="28">
        <v>247.47</v>
      </c>
      <c r="P57" s="80">
        <v>259.86</v>
      </c>
      <c r="Q57" s="28">
        <v>272.86</v>
      </c>
      <c r="R57" s="80">
        <v>286.49</v>
      </c>
      <c r="S57" s="81">
        <v>300.83</v>
      </c>
      <c r="T57" s="29">
        <v>315.87</v>
      </c>
      <c r="U57" s="30">
        <v>331.66</v>
      </c>
      <c r="V57" s="31">
        <v>348.23</v>
      </c>
      <c r="W57" s="30">
        <v>365.64</v>
      </c>
      <c r="X57" s="31">
        <v>383.92</v>
      </c>
      <c r="Y57" s="30">
        <v>403.12</v>
      </c>
      <c r="Z57" s="32">
        <v>423.27</v>
      </c>
    </row>
    <row r="58" spans="1:26" x14ac:dyDescent="0.2">
      <c r="A58" s="96">
        <v>36404</v>
      </c>
      <c r="B58" s="82">
        <v>157.5</v>
      </c>
      <c r="C58" s="28">
        <v>157.5</v>
      </c>
      <c r="D58" s="80">
        <v>157.5</v>
      </c>
      <c r="E58" s="28">
        <v>157.5</v>
      </c>
      <c r="F58" s="80">
        <v>159.52000000000001</v>
      </c>
      <c r="G58" s="81">
        <v>167.5</v>
      </c>
      <c r="H58" s="82">
        <v>175.88</v>
      </c>
      <c r="I58" s="28">
        <v>184.67</v>
      </c>
      <c r="J58" s="80">
        <v>193.91</v>
      </c>
      <c r="K58" s="28">
        <v>203.61</v>
      </c>
      <c r="L58" s="80">
        <v>213.78</v>
      </c>
      <c r="M58" s="81">
        <v>224.46</v>
      </c>
      <c r="N58" s="82">
        <v>235.69</v>
      </c>
      <c r="O58" s="28">
        <v>247.47</v>
      </c>
      <c r="P58" s="80">
        <v>259.86</v>
      </c>
      <c r="Q58" s="28">
        <v>272.86</v>
      </c>
      <c r="R58" s="80">
        <v>286.49</v>
      </c>
      <c r="S58" s="81">
        <v>300.83</v>
      </c>
      <c r="T58" s="29">
        <v>315.87</v>
      </c>
      <c r="U58" s="30">
        <v>331.66</v>
      </c>
      <c r="V58" s="31">
        <v>348.23</v>
      </c>
      <c r="W58" s="30">
        <v>365.64</v>
      </c>
      <c r="X58" s="31">
        <v>383.92</v>
      </c>
      <c r="Y58" s="30">
        <v>403.12</v>
      </c>
      <c r="Z58" s="32">
        <v>423.27</v>
      </c>
    </row>
    <row r="59" spans="1:26" x14ac:dyDescent="0.2">
      <c r="A59" s="96">
        <v>36434</v>
      </c>
      <c r="B59" s="82">
        <v>157.5</v>
      </c>
      <c r="C59" s="28">
        <v>157.5</v>
      </c>
      <c r="D59" s="80">
        <v>157.5</v>
      </c>
      <c r="E59" s="28">
        <v>157.5</v>
      </c>
      <c r="F59" s="80">
        <v>159.52000000000001</v>
      </c>
      <c r="G59" s="81">
        <v>167.5</v>
      </c>
      <c r="H59" s="82">
        <v>175.88</v>
      </c>
      <c r="I59" s="28">
        <v>184.67</v>
      </c>
      <c r="J59" s="80">
        <v>193.91</v>
      </c>
      <c r="K59" s="28">
        <v>203.61</v>
      </c>
      <c r="L59" s="80">
        <v>213.78</v>
      </c>
      <c r="M59" s="81">
        <v>224.46</v>
      </c>
      <c r="N59" s="82">
        <v>235.69</v>
      </c>
      <c r="O59" s="28">
        <v>247.47</v>
      </c>
      <c r="P59" s="80">
        <v>259.86</v>
      </c>
      <c r="Q59" s="28">
        <v>272.86</v>
      </c>
      <c r="R59" s="80">
        <v>286.49</v>
      </c>
      <c r="S59" s="81">
        <v>300.83</v>
      </c>
      <c r="T59" s="29">
        <v>315.87</v>
      </c>
      <c r="U59" s="30">
        <v>331.66</v>
      </c>
      <c r="V59" s="31">
        <v>348.23</v>
      </c>
      <c r="W59" s="30">
        <v>365.64</v>
      </c>
      <c r="X59" s="31">
        <v>383.92</v>
      </c>
      <c r="Y59" s="30">
        <v>403.12</v>
      </c>
      <c r="Z59" s="32">
        <v>423.27</v>
      </c>
    </row>
    <row r="60" spans="1:26" x14ac:dyDescent="0.2">
      <c r="A60" s="96">
        <v>36465</v>
      </c>
      <c r="B60" s="82">
        <v>157.5</v>
      </c>
      <c r="C60" s="28">
        <v>157.5</v>
      </c>
      <c r="D60" s="80">
        <v>157.5</v>
      </c>
      <c r="E60" s="28">
        <v>157.5</v>
      </c>
      <c r="F60" s="80">
        <v>159.52000000000001</v>
      </c>
      <c r="G60" s="81">
        <v>167.5</v>
      </c>
      <c r="H60" s="82">
        <v>175.88</v>
      </c>
      <c r="I60" s="28">
        <v>184.67</v>
      </c>
      <c r="J60" s="80">
        <v>193.91</v>
      </c>
      <c r="K60" s="28">
        <v>203.61</v>
      </c>
      <c r="L60" s="80">
        <v>213.78</v>
      </c>
      <c r="M60" s="81">
        <v>224.46</v>
      </c>
      <c r="N60" s="82">
        <v>235.69</v>
      </c>
      <c r="O60" s="28">
        <v>247.47</v>
      </c>
      <c r="P60" s="80">
        <v>259.86</v>
      </c>
      <c r="Q60" s="28">
        <v>272.86</v>
      </c>
      <c r="R60" s="80">
        <v>286.49</v>
      </c>
      <c r="S60" s="81">
        <v>300.83</v>
      </c>
      <c r="T60" s="29">
        <v>315.87</v>
      </c>
      <c r="U60" s="30">
        <v>331.66</v>
      </c>
      <c r="V60" s="31">
        <v>348.23</v>
      </c>
      <c r="W60" s="30">
        <v>365.64</v>
      </c>
      <c r="X60" s="31">
        <v>383.92</v>
      </c>
      <c r="Y60" s="30">
        <v>403.12</v>
      </c>
      <c r="Z60" s="32">
        <v>423.27</v>
      </c>
    </row>
    <row r="61" spans="1:26" ht="13.5" thickBot="1" x14ac:dyDescent="0.25">
      <c r="A61" s="96">
        <v>36495</v>
      </c>
      <c r="B61" s="90">
        <v>157.5</v>
      </c>
      <c r="C61" s="87">
        <v>157.5</v>
      </c>
      <c r="D61" s="88">
        <v>157.5</v>
      </c>
      <c r="E61" s="87">
        <v>157.5</v>
      </c>
      <c r="F61" s="88">
        <v>159.52000000000001</v>
      </c>
      <c r="G61" s="89">
        <v>167.5</v>
      </c>
      <c r="H61" s="90">
        <v>175.88</v>
      </c>
      <c r="I61" s="87">
        <v>184.67</v>
      </c>
      <c r="J61" s="88">
        <v>193.91</v>
      </c>
      <c r="K61" s="87">
        <v>203.61</v>
      </c>
      <c r="L61" s="88">
        <v>213.78</v>
      </c>
      <c r="M61" s="89">
        <v>224.46</v>
      </c>
      <c r="N61" s="90">
        <v>235.69</v>
      </c>
      <c r="O61" s="87">
        <v>247.47</v>
      </c>
      <c r="P61" s="88">
        <v>259.86</v>
      </c>
      <c r="Q61" s="87">
        <v>272.86</v>
      </c>
      <c r="R61" s="88">
        <v>286.49</v>
      </c>
      <c r="S61" s="89">
        <v>300.83</v>
      </c>
      <c r="T61" s="114">
        <v>315.87</v>
      </c>
      <c r="U61" s="115">
        <v>331.66</v>
      </c>
      <c r="V61" s="116">
        <v>348.23</v>
      </c>
      <c r="W61" s="115">
        <v>365.64</v>
      </c>
      <c r="X61" s="116">
        <v>383.92</v>
      </c>
      <c r="Y61" s="115">
        <v>403.12</v>
      </c>
      <c r="Z61" s="117">
        <v>423.27</v>
      </c>
    </row>
    <row r="62" spans="1:26" x14ac:dyDescent="0.2">
      <c r="A62" s="96">
        <v>36526</v>
      </c>
      <c r="B62" s="100">
        <v>157.5</v>
      </c>
      <c r="C62" s="101">
        <v>157.5</v>
      </c>
      <c r="D62" s="102">
        <v>157.5</v>
      </c>
      <c r="E62" s="101">
        <v>157.5</v>
      </c>
      <c r="F62" s="102">
        <v>159.52000000000001</v>
      </c>
      <c r="G62" s="103">
        <v>167.5</v>
      </c>
      <c r="H62" s="100">
        <v>175.88</v>
      </c>
      <c r="I62" s="101">
        <v>184.67</v>
      </c>
      <c r="J62" s="102">
        <v>193.91</v>
      </c>
      <c r="K62" s="101">
        <v>203.61</v>
      </c>
      <c r="L62" s="102">
        <v>213.78</v>
      </c>
      <c r="M62" s="103">
        <v>224.46</v>
      </c>
      <c r="N62" s="100">
        <v>235.69</v>
      </c>
      <c r="O62" s="101">
        <v>247.47</v>
      </c>
      <c r="P62" s="102">
        <v>259.86</v>
      </c>
      <c r="Q62" s="101">
        <v>272.86</v>
      </c>
      <c r="R62" s="102">
        <v>286.49</v>
      </c>
      <c r="S62" s="103">
        <v>300.83</v>
      </c>
      <c r="T62" s="110">
        <v>315.87</v>
      </c>
      <c r="U62" s="111">
        <v>331.66</v>
      </c>
      <c r="V62" s="112">
        <v>348.23</v>
      </c>
      <c r="W62" s="111">
        <v>365.64</v>
      </c>
      <c r="X62" s="112">
        <v>383.92</v>
      </c>
      <c r="Y62" s="111">
        <v>403.12</v>
      </c>
      <c r="Z62" s="113">
        <v>423.27</v>
      </c>
    </row>
    <row r="63" spans="1:26" x14ac:dyDescent="0.2">
      <c r="A63" s="96">
        <v>36557</v>
      </c>
      <c r="B63" s="82">
        <v>157.5</v>
      </c>
      <c r="C63" s="28">
        <v>157.5</v>
      </c>
      <c r="D63" s="80">
        <v>157.5</v>
      </c>
      <c r="E63" s="28">
        <v>157.5</v>
      </c>
      <c r="F63" s="80">
        <v>159.52000000000001</v>
      </c>
      <c r="G63" s="81">
        <v>167.5</v>
      </c>
      <c r="H63" s="82">
        <v>175.88</v>
      </c>
      <c r="I63" s="28">
        <v>184.67</v>
      </c>
      <c r="J63" s="80">
        <v>193.91</v>
      </c>
      <c r="K63" s="28">
        <v>203.61</v>
      </c>
      <c r="L63" s="80">
        <v>213.78</v>
      </c>
      <c r="M63" s="81">
        <v>224.46</v>
      </c>
      <c r="N63" s="82">
        <v>235.69</v>
      </c>
      <c r="O63" s="28">
        <v>247.47</v>
      </c>
      <c r="P63" s="80">
        <v>259.86</v>
      </c>
      <c r="Q63" s="28">
        <v>272.86</v>
      </c>
      <c r="R63" s="80">
        <v>286.49</v>
      </c>
      <c r="S63" s="81">
        <v>300.83</v>
      </c>
      <c r="T63" s="29">
        <v>315.87</v>
      </c>
      <c r="U63" s="30">
        <v>331.66</v>
      </c>
      <c r="V63" s="31">
        <v>348.23</v>
      </c>
      <c r="W63" s="30">
        <v>365.64</v>
      </c>
      <c r="X63" s="31">
        <v>383.92</v>
      </c>
      <c r="Y63" s="30">
        <v>403.12</v>
      </c>
      <c r="Z63" s="32">
        <v>423.27</v>
      </c>
    </row>
    <row r="64" spans="1:26" x14ac:dyDescent="0.2">
      <c r="A64" s="96">
        <v>36586</v>
      </c>
      <c r="B64" s="82">
        <v>157.5</v>
      </c>
      <c r="C64" s="28">
        <v>157.5</v>
      </c>
      <c r="D64" s="80">
        <v>157.5</v>
      </c>
      <c r="E64" s="28">
        <v>157.5</v>
      </c>
      <c r="F64" s="80">
        <v>159.52000000000001</v>
      </c>
      <c r="G64" s="81">
        <v>167.5</v>
      </c>
      <c r="H64" s="82">
        <v>175.88</v>
      </c>
      <c r="I64" s="28">
        <v>184.67</v>
      </c>
      <c r="J64" s="80">
        <v>193.91</v>
      </c>
      <c r="K64" s="28">
        <v>203.61</v>
      </c>
      <c r="L64" s="80">
        <v>213.78</v>
      </c>
      <c r="M64" s="81">
        <v>224.46</v>
      </c>
      <c r="N64" s="82">
        <v>235.69</v>
      </c>
      <c r="O64" s="28">
        <v>247.47</v>
      </c>
      <c r="P64" s="80">
        <v>259.86</v>
      </c>
      <c r="Q64" s="28">
        <v>272.86</v>
      </c>
      <c r="R64" s="80">
        <v>286.49</v>
      </c>
      <c r="S64" s="81">
        <v>300.83</v>
      </c>
      <c r="T64" s="29">
        <v>315.87</v>
      </c>
      <c r="U64" s="30">
        <v>331.66</v>
      </c>
      <c r="V64" s="31">
        <v>348.23</v>
      </c>
      <c r="W64" s="30">
        <v>365.64</v>
      </c>
      <c r="X64" s="31">
        <v>383.92</v>
      </c>
      <c r="Y64" s="30">
        <v>403.12</v>
      </c>
      <c r="Z64" s="32">
        <v>423.27</v>
      </c>
    </row>
    <row r="65" spans="1:26" x14ac:dyDescent="0.2">
      <c r="A65" s="96">
        <v>36617</v>
      </c>
      <c r="B65" s="82">
        <v>157.5</v>
      </c>
      <c r="C65" s="28">
        <v>157.5</v>
      </c>
      <c r="D65" s="80">
        <v>157.5</v>
      </c>
      <c r="E65" s="28">
        <v>157.5</v>
      </c>
      <c r="F65" s="80">
        <v>159.52000000000001</v>
      </c>
      <c r="G65" s="81">
        <v>167.5</v>
      </c>
      <c r="H65" s="82">
        <v>175.88</v>
      </c>
      <c r="I65" s="28">
        <v>184.67</v>
      </c>
      <c r="J65" s="80">
        <v>193.91</v>
      </c>
      <c r="K65" s="28">
        <v>203.61</v>
      </c>
      <c r="L65" s="80">
        <v>213.78</v>
      </c>
      <c r="M65" s="81">
        <v>224.46</v>
      </c>
      <c r="N65" s="82">
        <v>235.69</v>
      </c>
      <c r="O65" s="28">
        <v>247.47</v>
      </c>
      <c r="P65" s="80">
        <v>259.86</v>
      </c>
      <c r="Q65" s="28">
        <v>272.86</v>
      </c>
      <c r="R65" s="80">
        <v>286.49</v>
      </c>
      <c r="S65" s="81">
        <v>300.83</v>
      </c>
      <c r="T65" s="29">
        <v>315.87</v>
      </c>
      <c r="U65" s="30">
        <v>331.66</v>
      </c>
      <c r="V65" s="31">
        <v>348.23</v>
      </c>
      <c r="W65" s="30">
        <v>365.64</v>
      </c>
      <c r="X65" s="31">
        <v>383.92</v>
      </c>
      <c r="Y65" s="30">
        <v>403.12</v>
      </c>
      <c r="Z65" s="32">
        <v>423.27</v>
      </c>
    </row>
    <row r="66" spans="1:26" x14ac:dyDescent="0.2">
      <c r="A66" s="96">
        <v>36647</v>
      </c>
      <c r="B66" s="82">
        <v>157.5</v>
      </c>
      <c r="C66" s="28">
        <v>157.5</v>
      </c>
      <c r="D66" s="80">
        <v>157.5</v>
      </c>
      <c r="E66" s="28">
        <v>157.5</v>
      </c>
      <c r="F66" s="80">
        <v>159.52000000000001</v>
      </c>
      <c r="G66" s="81">
        <v>167.5</v>
      </c>
      <c r="H66" s="82">
        <v>175.88</v>
      </c>
      <c r="I66" s="28">
        <v>184.67</v>
      </c>
      <c r="J66" s="80">
        <v>193.91</v>
      </c>
      <c r="K66" s="28">
        <v>203.61</v>
      </c>
      <c r="L66" s="80">
        <v>213.78</v>
      </c>
      <c r="M66" s="81">
        <v>224.46</v>
      </c>
      <c r="N66" s="82">
        <v>235.69</v>
      </c>
      <c r="O66" s="28">
        <v>247.47</v>
      </c>
      <c r="P66" s="80">
        <v>259.86</v>
      </c>
      <c r="Q66" s="28">
        <v>272.86</v>
      </c>
      <c r="R66" s="80">
        <v>286.49</v>
      </c>
      <c r="S66" s="81">
        <v>300.83</v>
      </c>
      <c r="T66" s="29">
        <v>315.87</v>
      </c>
      <c r="U66" s="30">
        <v>331.66</v>
      </c>
      <c r="V66" s="31">
        <v>348.23</v>
      </c>
      <c r="W66" s="30">
        <v>365.64</v>
      </c>
      <c r="X66" s="31">
        <v>383.92</v>
      </c>
      <c r="Y66" s="30">
        <v>403.12</v>
      </c>
      <c r="Z66" s="32">
        <v>423.27</v>
      </c>
    </row>
    <row r="67" spans="1:26" x14ac:dyDescent="0.2">
      <c r="A67" s="96">
        <v>36678</v>
      </c>
      <c r="B67" s="82">
        <v>157.5</v>
      </c>
      <c r="C67" s="28">
        <v>157.5</v>
      </c>
      <c r="D67" s="80">
        <v>157.5</v>
      </c>
      <c r="E67" s="28">
        <v>157.5</v>
      </c>
      <c r="F67" s="80">
        <v>159.52000000000001</v>
      </c>
      <c r="G67" s="81">
        <v>167.5</v>
      </c>
      <c r="H67" s="82">
        <v>175.88</v>
      </c>
      <c r="I67" s="28">
        <v>184.67</v>
      </c>
      <c r="J67" s="80">
        <v>193.91</v>
      </c>
      <c r="K67" s="28">
        <v>203.61</v>
      </c>
      <c r="L67" s="80">
        <v>213.78</v>
      </c>
      <c r="M67" s="81">
        <v>224.46</v>
      </c>
      <c r="N67" s="82">
        <v>235.69</v>
      </c>
      <c r="O67" s="28">
        <v>247.47</v>
      </c>
      <c r="P67" s="80">
        <v>259.86</v>
      </c>
      <c r="Q67" s="28">
        <v>272.86</v>
      </c>
      <c r="R67" s="80">
        <v>286.49</v>
      </c>
      <c r="S67" s="81">
        <v>300.83</v>
      </c>
      <c r="T67" s="29">
        <v>315.87</v>
      </c>
      <c r="U67" s="30">
        <v>331.66</v>
      </c>
      <c r="V67" s="31">
        <v>348.23</v>
      </c>
      <c r="W67" s="30">
        <v>365.64</v>
      </c>
      <c r="X67" s="31">
        <v>383.92</v>
      </c>
      <c r="Y67" s="30">
        <v>403.12</v>
      </c>
      <c r="Z67" s="32">
        <v>423.27</v>
      </c>
    </row>
    <row r="68" spans="1:26" x14ac:dyDescent="0.2">
      <c r="A68" s="96">
        <v>36708</v>
      </c>
      <c r="B68" s="82">
        <v>157.5</v>
      </c>
      <c r="C68" s="28">
        <v>157.5</v>
      </c>
      <c r="D68" s="80">
        <v>157.5</v>
      </c>
      <c r="E68" s="28">
        <v>157.5</v>
      </c>
      <c r="F68" s="80">
        <v>159.52000000000001</v>
      </c>
      <c r="G68" s="81">
        <v>167.5</v>
      </c>
      <c r="H68" s="82">
        <v>175.88</v>
      </c>
      <c r="I68" s="28">
        <v>184.67</v>
      </c>
      <c r="J68" s="80">
        <v>193.91</v>
      </c>
      <c r="K68" s="28">
        <v>203.61</v>
      </c>
      <c r="L68" s="80">
        <v>213.78</v>
      </c>
      <c r="M68" s="81">
        <v>224.46</v>
      </c>
      <c r="N68" s="82">
        <v>235.69</v>
      </c>
      <c r="O68" s="28">
        <v>247.47</v>
      </c>
      <c r="P68" s="80">
        <v>259.86</v>
      </c>
      <c r="Q68" s="28">
        <v>272.86</v>
      </c>
      <c r="R68" s="80">
        <v>286.49</v>
      </c>
      <c r="S68" s="81">
        <v>300.83</v>
      </c>
      <c r="T68" s="29">
        <v>315.87</v>
      </c>
      <c r="U68" s="30">
        <v>331.66</v>
      </c>
      <c r="V68" s="31">
        <v>348.23</v>
      </c>
      <c r="W68" s="30">
        <v>365.64</v>
      </c>
      <c r="X68" s="31">
        <v>383.92</v>
      </c>
      <c r="Y68" s="30">
        <v>403.12</v>
      </c>
      <c r="Z68" s="32">
        <v>423.27</v>
      </c>
    </row>
    <row r="69" spans="1:26" x14ac:dyDescent="0.2">
      <c r="A69" s="96">
        <v>36739</v>
      </c>
      <c r="B69" s="82">
        <v>157.5</v>
      </c>
      <c r="C69" s="28">
        <v>157.5</v>
      </c>
      <c r="D69" s="80">
        <v>157.5</v>
      </c>
      <c r="E69" s="28">
        <v>157.5</v>
      </c>
      <c r="F69" s="80">
        <v>159.52000000000001</v>
      </c>
      <c r="G69" s="81">
        <v>167.5</v>
      </c>
      <c r="H69" s="82">
        <v>175.88</v>
      </c>
      <c r="I69" s="28">
        <v>184.67</v>
      </c>
      <c r="J69" s="80">
        <v>193.91</v>
      </c>
      <c r="K69" s="28">
        <v>203.61</v>
      </c>
      <c r="L69" s="80">
        <v>213.78</v>
      </c>
      <c r="M69" s="81">
        <v>224.46</v>
      </c>
      <c r="N69" s="82">
        <v>235.69</v>
      </c>
      <c r="O69" s="28">
        <v>247.47</v>
      </c>
      <c r="P69" s="80">
        <v>259.86</v>
      </c>
      <c r="Q69" s="28">
        <v>272.86</v>
      </c>
      <c r="R69" s="80">
        <v>286.49</v>
      </c>
      <c r="S69" s="81">
        <v>300.83</v>
      </c>
      <c r="T69" s="29">
        <v>315.87</v>
      </c>
      <c r="U69" s="30">
        <v>331.66</v>
      </c>
      <c r="V69" s="31">
        <v>348.23</v>
      </c>
      <c r="W69" s="30">
        <v>365.64</v>
      </c>
      <c r="X69" s="31">
        <v>383.92</v>
      </c>
      <c r="Y69" s="30">
        <v>403.12</v>
      </c>
      <c r="Z69" s="32">
        <v>423.27</v>
      </c>
    </row>
    <row r="70" spans="1:26" x14ac:dyDescent="0.2">
      <c r="A70" s="96">
        <v>36770</v>
      </c>
      <c r="B70" s="82">
        <v>157.5</v>
      </c>
      <c r="C70" s="28">
        <v>157.5</v>
      </c>
      <c r="D70" s="80">
        <v>157.5</v>
      </c>
      <c r="E70" s="28">
        <v>157.5</v>
      </c>
      <c r="F70" s="80">
        <v>159.52000000000001</v>
      </c>
      <c r="G70" s="81">
        <v>167.5</v>
      </c>
      <c r="H70" s="82">
        <v>175.88</v>
      </c>
      <c r="I70" s="28">
        <v>184.67</v>
      </c>
      <c r="J70" s="80">
        <v>193.91</v>
      </c>
      <c r="K70" s="28">
        <v>203.61</v>
      </c>
      <c r="L70" s="80">
        <v>213.78</v>
      </c>
      <c r="M70" s="81">
        <v>224.46</v>
      </c>
      <c r="N70" s="82">
        <v>235.69</v>
      </c>
      <c r="O70" s="28">
        <v>247.47</v>
      </c>
      <c r="P70" s="80">
        <v>259.86</v>
      </c>
      <c r="Q70" s="28">
        <v>272.86</v>
      </c>
      <c r="R70" s="80">
        <v>286.49</v>
      </c>
      <c r="S70" s="81">
        <v>300.83</v>
      </c>
      <c r="T70" s="29">
        <v>315.87</v>
      </c>
      <c r="U70" s="30">
        <v>331.66</v>
      </c>
      <c r="V70" s="31">
        <v>348.23</v>
      </c>
      <c r="W70" s="30">
        <v>365.64</v>
      </c>
      <c r="X70" s="31">
        <v>383.92</v>
      </c>
      <c r="Y70" s="30">
        <v>403.12</v>
      </c>
      <c r="Z70" s="32">
        <v>423.27</v>
      </c>
    </row>
    <row r="71" spans="1:26" x14ac:dyDescent="0.2">
      <c r="A71" s="96">
        <v>36800</v>
      </c>
      <c r="B71" s="82">
        <v>157.5</v>
      </c>
      <c r="C71" s="28">
        <v>157.5</v>
      </c>
      <c r="D71" s="80">
        <v>157.5</v>
      </c>
      <c r="E71" s="28">
        <v>157.5</v>
      </c>
      <c r="F71" s="80">
        <v>159.52000000000001</v>
      </c>
      <c r="G71" s="81">
        <v>167.5</v>
      </c>
      <c r="H71" s="82">
        <v>175.88</v>
      </c>
      <c r="I71" s="28">
        <v>184.67</v>
      </c>
      <c r="J71" s="80">
        <v>193.91</v>
      </c>
      <c r="K71" s="28">
        <v>203.61</v>
      </c>
      <c r="L71" s="80">
        <v>213.78</v>
      </c>
      <c r="M71" s="81">
        <v>224.46</v>
      </c>
      <c r="N71" s="82">
        <v>235.69</v>
      </c>
      <c r="O71" s="28">
        <v>247.47</v>
      </c>
      <c r="P71" s="80">
        <v>259.86</v>
      </c>
      <c r="Q71" s="28">
        <v>272.86</v>
      </c>
      <c r="R71" s="80">
        <v>286.49</v>
      </c>
      <c r="S71" s="81">
        <v>300.83</v>
      </c>
      <c r="T71" s="29">
        <v>315.87</v>
      </c>
      <c r="U71" s="30">
        <v>331.66</v>
      </c>
      <c r="V71" s="31">
        <v>348.23</v>
      </c>
      <c r="W71" s="30">
        <v>365.64</v>
      </c>
      <c r="X71" s="31">
        <v>383.92</v>
      </c>
      <c r="Y71" s="30">
        <v>403.12</v>
      </c>
      <c r="Z71" s="32">
        <v>423.27</v>
      </c>
    </row>
    <row r="72" spans="1:26" x14ac:dyDescent="0.2">
      <c r="A72" s="96">
        <v>36831</v>
      </c>
      <c r="B72" s="82">
        <v>157.5</v>
      </c>
      <c r="C72" s="28">
        <v>157.5</v>
      </c>
      <c r="D72" s="80">
        <v>157.5</v>
      </c>
      <c r="E72" s="28">
        <v>157.5</v>
      </c>
      <c r="F72" s="80">
        <v>159.52000000000001</v>
      </c>
      <c r="G72" s="81">
        <v>167.5</v>
      </c>
      <c r="H72" s="82">
        <v>175.88</v>
      </c>
      <c r="I72" s="28">
        <v>184.67</v>
      </c>
      <c r="J72" s="80">
        <v>193.91</v>
      </c>
      <c r="K72" s="28">
        <v>203.61</v>
      </c>
      <c r="L72" s="80">
        <v>213.78</v>
      </c>
      <c r="M72" s="81">
        <v>224.46</v>
      </c>
      <c r="N72" s="82">
        <v>235.69</v>
      </c>
      <c r="O72" s="28">
        <v>247.47</v>
      </c>
      <c r="P72" s="80">
        <v>259.86</v>
      </c>
      <c r="Q72" s="28">
        <v>272.86</v>
      </c>
      <c r="R72" s="80">
        <v>286.49</v>
      </c>
      <c r="S72" s="81">
        <v>300.83</v>
      </c>
      <c r="T72" s="29">
        <v>315.87</v>
      </c>
      <c r="U72" s="30">
        <v>331.66</v>
      </c>
      <c r="V72" s="31">
        <v>348.23</v>
      </c>
      <c r="W72" s="30">
        <v>365.64</v>
      </c>
      <c r="X72" s="31">
        <v>383.92</v>
      </c>
      <c r="Y72" s="30">
        <v>403.12</v>
      </c>
      <c r="Z72" s="32">
        <v>423.27</v>
      </c>
    </row>
    <row r="73" spans="1:26" ht="13.5" thickBot="1" x14ac:dyDescent="0.25">
      <c r="A73" s="96">
        <v>36861</v>
      </c>
      <c r="B73" s="90">
        <v>157.5</v>
      </c>
      <c r="C73" s="87">
        <v>157.5</v>
      </c>
      <c r="D73" s="88">
        <v>157.5</v>
      </c>
      <c r="E73" s="87">
        <v>157.5</v>
      </c>
      <c r="F73" s="88">
        <v>159.52000000000001</v>
      </c>
      <c r="G73" s="89">
        <v>167.5</v>
      </c>
      <c r="H73" s="90">
        <v>175.88</v>
      </c>
      <c r="I73" s="87">
        <v>184.67</v>
      </c>
      <c r="J73" s="88">
        <v>193.91</v>
      </c>
      <c r="K73" s="87">
        <v>203.61</v>
      </c>
      <c r="L73" s="88">
        <v>213.78</v>
      </c>
      <c r="M73" s="89">
        <v>224.46</v>
      </c>
      <c r="N73" s="90">
        <v>235.69</v>
      </c>
      <c r="O73" s="87">
        <v>247.47</v>
      </c>
      <c r="P73" s="88">
        <v>259.86</v>
      </c>
      <c r="Q73" s="87">
        <v>272.86</v>
      </c>
      <c r="R73" s="88">
        <v>286.49</v>
      </c>
      <c r="S73" s="89">
        <v>300.83</v>
      </c>
      <c r="T73" s="114">
        <v>315.87</v>
      </c>
      <c r="U73" s="115">
        <v>331.66</v>
      </c>
      <c r="V73" s="116">
        <v>348.23</v>
      </c>
      <c r="W73" s="115">
        <v>365.64</v>
      </c>
      <c r="X73" s="116">
        <v>383.92</v>
      </c>
      <c r="Y73" s="115">
        <v>403.12</v>
      </c>
      <c r="Z73" s="117">
        <v>423.27</v>
      </c>
    </row>
    <row r="74" spans="1:26" x14ac:dyDescent="0.2">
      <c r="A74" s="96">
        <v>36892</v>
      </c>
      <c r="B74" s="100">
        <v>180</v>
      </c>
      <c r="C74" s="101">
        <v>180</v>
      </c>
      <c r="D74" s="102">
        <v>180</v>
      </c>
      <c r="E74" s="101">
        <v>180</v>
      </c>
      <c r="F74" s="102">
        <v>180</v>
      </c>
      <c r="G74" s="103">
        <v>180</v>
      </c>
      <c r="H74" s="100">
        <v>180</v>
      </c>
      <c r="I74" s="101">
        <v>184.67</v>
      </c>
      <c r="J74" s="102">
        <v>193.91</v>
      </c>
      <c r="K74" s="101">
        <v>203.61</v>
      </c>
      <c r="L74" s="102">
        <v>213.78</v>
      </c>
      <c r="M74" s="103">
        <v>224.46</v>
      </c>
      <c r="N74" s="100">
        <v>235.69</v>
      </c>
      <c r="O74" s="101">
        <v>247.47</v>
      </c>
      <c r="P74" s="102">
        <v>259.86</v>
      </c>
      <c r="Q74" s="101">
        <v>272.86</v>
      </c>
      <c r="R74" s="102">
        <v>286.49</v>
      </c>
      <c r="S74" s="103">
        <v>300.83</v>
      </c>
      <c r="T74" s="110">
        <v>315.87</v>
      </c>
      <c r="U74" s="111">
        <v>331.66</v>
      </c>
      <c r="V74" s="112">
        <v>348.23</v>
      </c>
      <c r="W74" s="111">
        <v>365.64</v>
      </c>
      <c r="X74" s="112">
        <v>383.92</v>
      </c>
      <c r="Y74" s="111">
        <v>403.12</v>
      </c>
      <c r="Z74" s="113">
        <v>423.27</v>
      </c>
    </row>
    <row r="75" spans="1:26" x14ac:dyDescent="0.2">
      <c r="A75" s="96">
        <v>36923</v>
      </c>
      <c r="B75" s="82">
        <v>180</v>
      </c>
      <c r="C75" s="28">
        <v>180</v>
      </c>
      <c r="D75" s="80">
        <v>180</v>
      </c>
      <c r="E75" s="28">
        <v>180</v>
      </c>
      <c r="F75" s="80">
        <v>180</v>
      </c>
      <c r="G75" s="81">
        <v>180</v>
      </c>
      <c r="H75" s="82">
        <v>180</v>
      </c>
      <c r="I75" s="28">
        <v>184.67</v>
      </c>
      <c r="J75" s="80">
        <v>193.91</v>
      </c>
      <c r="K75" s="28">
        <v>203.61</v>
      </c>
      <c r="L75" s="80">
        <v>213.78</v>
      </c>
      <c r="M75" s="81">
        <v>224.46</v>
      </c>
      <c r="N75" s="82">
        <v>235.69</v>
      </c>
      <c r="O75" s="28">
        <v>247.47</v>
      </c>
      <c r="P75" s="80">
        <v>259.86</v>
      </c>
      <c r="Q75" s="28">
        <v>272.86</v>
      </c>
      <c r="R75" s="80">
        <v>286.49</v>
      </c>
      <c r="S75" s="81">
        <v>300.83</v>
      </c>
      <c r="T75" s="29">
        <v>315.87</v>
      </c>
      <c r="U75" s="30">
        <v>331.66</v>
      </c>
      <c r="V75" s="31">
        <v>348.23</v>
      </c>
      <c r="W75" s="30">
        <v>365.64</v>
      </c>
      <c r="X75" s="31">
        <v>383.92</v>
      </c>
      <c r="Y75" s="30">
        <v>403.12</v>
      </c>
      <c r="Z75" s="32">
        <v>423.27</v>
      </c>
    </row>
    <row r="76" spans="1:26" x14ac:dyDescent="0.2">
      <c r="A76" s="96">
        <v>36951</v>
      </c>
      <c r="B76" s="82">
        <v>180</v>
      </c>
      <c r="C76" s="28">
        <v>180</v>
      </c>
      <c r="D76" s="80">
        <v>180</v>
      </c>
      <c r="E76" s="28">
        <v>180</v>
      </c>
      <c r="F76" s="80">
        <v>180</v>
      </c>
      <c r="G76" s="81">
        <v>180</v>
      </c>
      <c r="H76" s="82">
        <v>180</v>
      </c>
      <c r="I76" s="28">
        <v>184.67</v>
      </c>
      <c r="J76" s="80">
        <v>193.91</v>
      </c>
      <c r="K76" s="28">
        <v>203.61</v>
      </c>
      <c r="L76" s="80">
        <v>213.78</v>
      </c>
      <c r="M76" s="81">
        <v>224.46</v>
      </c>
      <c r="N76" s="82">
        <v>235.69</v>
      </c>
      <c r="O76" s="28">
        <v>247.47</v>
      </c>
      <c r="P76" s="80">
        <v>259.86</v>
      </c>
      <c r="Q76" s="28">
        <v>272.86</v>
      </c>
      <c r="R76" s="80">
        <v>286.49</v>
      </c>
      <c r="S76" s="81">
        <v>300.83</v>
      </c>
      <c r="T76" s="29">
        <v>315.87</v>
      </c>
      <c r="U76" s="30">
        <v>331.66</v>
      </c>
      <c r="V76" s="31">
        <v>348.23</v>
      </c>
      <c r="W76" s="30">
        <v>365.64</v>
      </c>
      <c r="X76" s="31">
        <v>383.92</v>
      </c>
      <c r="Y76" s="30">
        <v>403.12</v>
      </c>
      <c r="Z76" s="32">
        <v>423.27</v>
      </c>
    </row>
    <row r="77" spans="1:26" x14ac:dyDescent="0.2">
      <c r="A77" s="96">
        <v>36982</v>
      </c>
      <c r="B77" s="82">
        <v>180</v>
      </c>
      <c r="C77" s="28">
        <v>180</v>
      </c>
      <c r="D77" s="80">
        <v>180</v>
      </c>
      <c r="E77" s="28">
        <v>180</v>
      </c>
      <c r="F77" s="80">
        <v>180</v>
      </c>
      <c r="G77" s="81">
        <v>180</v>
      </c>
      <c r="H77" s="82">
        <v>180</v>
      </c>
      <c r="I77" s="28">
        <v>184.67</v>
      </c>
      <c r="J77" s="80">
        <v>193.91</v>
      </c>
      <c r="K77" s="28">
        <v>203.61</v>
      </c>
      <c r="L77" s="80">
        <v>213.78</v>
      </c>
      <c r="M77" s="81">
        <v>224.46</v>
      </c>
      <c r="N77" s="82">
        <v>235.69</v>
      </c>
      <c r="O77" s="28">
        <v>247.47</v>
      </c>
      <c r="P77" s="80">
        <v>259.86</v>
      </c>
      <c r="Q77" s="28">
        <v>272.86</v>
      </c>
      <c r="R77" s="80">
        <v>286.49</v>
      </c>
      <c r="S77" s="81">
        <v>300.83</v>
      </c>
      <c r="T77" s="29">
        <v>315.87</v>
      </c>
      <c r="U77" s="30">
        <v>331.66</v>
      </c>
      <c r="V77" s="31">
        <v>348.23</v>
      </c>
      <c r="W77" s="30">
        <v>365.64</v>
      </c>
      <c r="X77" s="31">
        <v>383.92</v>
      </c>
      <c r="Y77" s="30">
        <v>403.12</v>
      </c>
      <c r="Z77" s="32">
        <v>423.27</v>
      </c>
    </row>
    <row r="78" spans="1:26" x14ac:dyDescent="0.2">
      <c r="A78" s="96">
        <v>37012</v>
      </c>
      <c r="B78" s="82">
        <v>180</v>
      </c>
      <c r="C78" s="28">
        <v>180</v>
      </c>
      <c r="D78" s="80">
        <v>180</v>
      </c>
      <c r="E78" s="28">
        <v>180</v>
      </c>
      <c r="F78" s="80">
        <v>180</v>
      </c>
      <c r="G78" s="81">
        <v>180</v>
      </c>
      <c r="H78" s="82">
        <v>180</v>
      </c>
      <c r="I78" s="28">
        <v>184.67</v>
      </c>
      <c r="J78" s="80">
        <v>193.91</v>
      </c>
      <c r="K78" s="28">
        <v>203.61</v>
      </c>
      <c r="L78" s="80">
        <v>213.78</v>
      </c>
      <c r="M78" s="81">
        <v>224.46</v>
      </c>
      <c r="N78" s="82">
        <v>235.69</v>
      </c>
      <c r="O78" s="28">
        <v>247.47</v>
      </c>
      <c r="P78" s="80">
        <v>259.86</v>
      </c>
      <c r="Q78" s="28">
        <v>272.86</v>
      </c>
      <c r="R78" s="80">
        <v>286.49</v>
      </c>
      <c r="S78" s="81">
        <v>300.83</v>
      </c>
      <c r="T78" s="29">
        <v>315.87</v>
      </c>
      <c r="U78" s="30">
        <v>331.66</v>
      </c>
      <c r="V78" s="31">
        <v>348.23</v>
      </c>
      <c r="W78" s="30">
        <v>365.64</v>
      </c>
      <c r="X78" s="31">
        <v>383.92</v>
      </c>
      <c r="Y78" s="30">
        <v>403.12</v>
      </c>
      <c r="Z78" s="32">
        <v>423.27</v>
      </c>
    </row>
    <row r="79" spans="1:26" x14ac:dyDescent="0.2">
      <c r="A79" s="96">
        <v>37043</v>
      </c>
      <c r="B79" s="82">
        <v>180</v>
      </c>
      <c r="C79" s="28">
        <v>180</v>
      </c>
      <c r="D79" s="80">
        <v>180</v>
      </c>
      <c r="E79" s="28">
        <v>180</v>
      </c>
      <c r="F79" s="80">
        <v>180</v>
      </c>
      <c r="G79" s="81">
        <v>180</v>
      </c>
      <c r="H79" s="82">
        <v>180</v>
      </c>
      <c r="I79" s="28">
        <v>184.67</v>
      </c>
      <c r="J79" s="80">
        <v>193.91</v>
      </c>
      <c r="K79" s="28">
        <v>203.61</v>
      </c>
      <c r="L79" s="80">
        <v>213.78</v>
      </c>
      <c r="M79" s="81">
        <v>224.46</v>
      </c>
      <c r="N79" s="82">
        <v>235.69</v>
      </c>
      <c r="O79" s="28">
        <v>247.47</v>
      </c>
      <c r="P79" s="80">
        <v>259.86</v>
      </c>
      <c r="Q79" s="28">
        <v>272.86</v>
      </c>
      <c r="R79" s="80">
        <v>286.49</v>
      </c>
      <c r="S79" s="81">
        <v>300.83</v>
      </c>
      <c r="T79" s="29">
        <v>315.87</v>
      </c>
      <c r="U79" s="30">
        <v>331.66</v>
      </c>
      <c r="V79" s="31">
        <v>348.23</v>
      </c>
      <c r="W79" s="30">
        <v>365.64</v>
      </c>
      <c r="X79" s="31">
        <v>383.92</v>
      </c>
      <c r="Y79" s="30">
        <v>403.12</v>
      </c>
      <c r="Z79" s="32">
        <v>423.27</v>
      </c>
    </row>
    <row r="80" spans="1:26" x14ac:dyDescent="0.2">
      <c r="A80" s="96">
        <v>37073</v>
      </c>
      <c r="B80" s="82">
        <v>180</v>
      </c>
      <c r="C80" s="28">
        <v>180</v>
      </c>
      <c r="D80" s="80">
        <v>180</v>
      </c>
      <c r="E80" s="28">
        <v>180</v>
      </c>
      <c r="F80" s="80">
        <v>180</v>
      </c>
      <c r="G80" s="81">
        <v>180</v>
      </c>
      <c r="H80" s="82">
        <v>180</v>
      </c>
      <c r="I80" s="28">
        <v>184.67</v>
      </c>
      <c r="J80" s="80">
        <v>193.91</v>
      </c>
      <c r="K80" s="28">
        <v>203.61</v>
      </c>
      <c r="L80" s="80">
        <v>213.78</v>
      </c>
      <c r="M80" s="81">
        <v>224.46</v>
      </c>
      <c r="N80" s="82">
        <v>235.69</v>
      </c>
      <c r="O80" s="28">
        <v>247.47</v>
      </c>
      <c r="P80" s="80">
        <v>259.86</v>
      </c>
      <c r="Q80" s="28">
        <v>272.86</v>
      </c>
      <c r="R80" s="80">
        <v>286.49</v>
      </c>
      <c r="S80" s="81">
        <v>300.83</v>
      </c>
      <c r="T80" s="29">
        <v>315.87</v>
      </c>
      <c r="U80" s="30">
        <v>331.66</v>
      </c>
      <c r="V80" s="31">
        <v>348.23</v>
      </c>
      <c r="W80" s="30">
        <v>365.64</v>
      </c>
      <c r="X80" s="31">
        <v>383.92</v>
      </c>
      <c r="Y80" s="30">
        <v>403.12</v>
      </c>
      <c r="Z80" s="32">
        <v>423.27</v>
      </c>
    </row>
    <row r="81" spans="1:26" x14ac:dyDescent="0.2">
      <c r="A81" s="96">
        <v>37104</v>
      </c>
      <c r="B81" s="82">
        <v>180</v>
      </c>
      <c r="C81" s="28">
        <v>180</v>
      </c>
      <c r="D81" s="80">
        <v>180</v>
      </c>
      <c r="E81" s="28">
        <v>180</v>
      </c>
      <c r="F81" s="80">
        <v>180</v>
      </c>
      <c r="G81" s="81">
        <v>180</v>
      </c>
      <c r="H81" s="82">
        <v>180</v>
      </c>
      <c r="I81" s="28">
        <v>184.67</v>
      </c>
      <c r="J81" s="80">
        <v>193.91</v>
      </c>
      <c r="K81" s="28">
        <v>203.61</v>
      </c>
      <c r="L81" s="80">
        <v>213.78</v>
      </c>
      <c r="M81" s="81">
        <v>224.46</v>
      </c>
      <c r="N81" s="82">
        <v>235.69</v>
      </c>
      <c r="O81" s="28">
        <v>247.47</v>
      </c>
      <c r="P81" s="80">
        <v>259.86</v>
      </c>
      <c r="Q81" s="28">
        <v>272.86</v>
      </c>
      <c r="R81" s="80">
        <v>286.49</v>
      </c>
      <c r="S81" s="81">
        <v>300.83</v>
      </c>
      <c r="T81" s="29">
        <v>315.87</v>
      </c>
      <c r="U81" s="30">
        <v>331.66</v>
      </c>
      <c r="V81" s="31">
        <v>348.23</v>
      </c>
      <c r="W81" s="30">
        <v>365.64</v>
      </c>
      <c r="X81" s="31">
        <v>383.92</v>
      </c>
      <c r="Y81" s="30">
        <v>403.12</v>
      </c>
      <c r="Z81" s="32">
        <v>423.27</v>
      </c>
    </row>
    <row r="82" spans="1:26" x14ac:dyDescent="0.2">
      <c r="A82" s="96">
        <v>37135</v>
      </c>
      <c r="B82" s="82">
        <v>180</v>
      </c>
      <c r="C82" s="28">
        <v>180</v>
      </c>
      <c r="D82" s="80">
        <v>180</v>
      </c>
      <c r="E82" s="28">
        <v>180</v>
      </c>
      <c r="F82" s="80">
        <v>180</v>
      </c>
      <c r="G82" s="81">
        <v>180</v>
      </c>
      <c r="H82" s="82">
        <v>180</v>
      </c>
      <c r="I82" s="28">
        <v>184.67</v>
      </c>
      <c r="J82" s="80">
        <v>193.91</v>
      </c>
      <c r="K82" s="28">
        <v>203.61</v>
      </c>
      <c r="L82" s="80">
        <v>213.78</v>
      </c>
      <c r="M82" s="81">
        <v>224.46</v>
      </c>
      <c r="N82" s="82">
        <v>235.69</v>
      </c>
      <c r="O82" s="28">
        <v>247.47</v>
      </c>
      <c r="P82" s="80">
        <v>259.86</v>
      </c>
      <c r="Q82" s="28">
        <v>272.86</v>
      </c>
      <c r="R82" s="80">
        <v>286.49</v>
      </c>
      <c r="S82" s="81">
        <v>300.83</v>
      </c>
      <c r="T82" s="29">
        <v>315.87</v>
      </c>
      <c r="U82" s="30">
        <v>331.66</v>
      </c>
      <c r="V82" s="31">
        <v>348.23</v>
      </c>
      <c r="W82" s="30">
        <v>365.64</v>
      </c>
      <c r="X82" s="31">
        <v>383.92</v>
      </c>
      <c r="Y82" s="30">
        <v>403.12</v>
      </c>
      <c r="Z82" s="32">
        <v>423.27</v>
      </c>
    </row>
    <row r="83" spans="1:26" x14ac:dyDescent="0.2">
      <c r="A83" s="96">
        <v>37165</v>
      </c>
      <c r="B83" s="82">
        <v>180</v>
      </c>
      <c r="C83" s="28">
        <v>180</v>
      </c>
      <c r="D83" s="80">
        <v>180</v>
      </c>
      <c r="E83" s="28">
        <v>180</v>
      </c>
      <c r="F83" s="80">
        <v>180</v>
      </c>
      <c r="G83" s="81">
        <v>180</v>
      </c>
      <c r="H83" s="82">
        <v>180</v>
      </c>
      <c r="I83" s="28">
        <v>184.67</v>
      </c>
      <c r="J83" s="80">
        <v>193.91</v>
      </c>
      <c r="K83" s="28">
        <v>203.61</v>
      </c>
      <c r="L83" s="80">
        <v>213.78</v>
      </c>
      <c r="M83" s="81">
        <v>224.46</v>
      </c>
      <c r="N83" s="82">
        <v>235.69</v>
      </c>
      <c r="O83" s="28">
        <v>247.47</v>
      </c>
      <c r="P83" s="80">
        <v>259.86</v>
      </c>
      <c r="Q83" s="28">
        <v>272.86</v>
      </c>
      <c r="R83" s="80">
        <v>286.49</v>
      </c>
      <c r="S83" s="81">
        <v>300.83</v>
      </c>
      <c r="T83" s="29">
        <v>315.87</v>
      </c>
      <c r="U83" s="30">
        <v>331.66</v>
      </c>
      <c r="V83" s="31">
        <v>348.23</v>
      </c>
      <c r="W83" s="30">
        <v>365.64</v>
      </c>
      <c r="X83" s="31">
        <v>383.92</v>
      </c>
      <c r="Y83" s="30">
        <v>403.12</v>
      </c>
      <c r="Z83" s="32">
        <v>423.27</v>
      </c>
    </row>
    <row r="84" spans="1:26" x14ac:dyDescent="0.2">
      <c r="A84" s="96">
        <v>37196</v>
      </c>
      <c r="B84" s="82">
        <v>180</v>
      </c>
      <c r="C84" s="28">
        <v>180</v>
      </c>
      <c r="D84" s="80">
        <v>180</v>
      </c>
      <c r="E84" s="28">
        <v>180</v>
      </c>
      <c r="F84" s="80">
        <v>180</v>
      </c>
      <c r="G84" s="81">
        <v>180</v>
      </c>
      <c r="H84" s="82">
        <v>180</v>
      </c>
      <c r="I84" s="28">
        <v>184.67</v>
      </c>
      <c r="J84" s="80">
        <v>193.91</v>
      </c>
      <c r="K84" s="28">
        <v>203.61</v>
      </c>
      <c r="L84" s="80">
        <v>213.78</v>
      </c>
      <c r="M84" s="81">
        <v>224.46</v>
      </c>
      <c r="N84" s="82">
        <v>235.69</v>
      </c>
      <c r="O84" s="28">
        <v>247.47</v>
      </c>
      <c r="P84" s="80">
        <v>259.86</v>
      </c>
      <c r="Q84" s="28">
        <v>272.86</v>
      </c>
      <c r="R84" s="80">
        <v>286.49</v>
      </c>
      <c r="S84" s="81">
        <v>300.83</v>
      </c>
      <c r="T84" s="29">
        <v>315.87</v>
      </c>
      <c r="U84" s="30">
        <v>331.66</v>
      </c>
      <c r="V84" s="31">
        <v>348.23</v>
      </c>
      <c r="W84" s="30">
        <v>365.64</v>
      </c>
      <c r="X84" s="31">
        <v>383.92</v>
      </c>
      <c r="Y84" s="30">
        <v>403.12</v>
      </c>
      <c r="Z84" s="32">
        <v>423.27</v>
      </c>
    </row>
    <row r="85" spans="1:26" ht="13.5" thickBot="1" x14ac:dyDescent="0.25">
      <c r="A85" s="96">
        <v>37226</v>
      </c>
      <c r="B85" s="90">
        <v>180</v>
      </c>
      <c r="C85" s="87">
        <v>180</v>
      </c>
      <c r="D85" s="88">
        <v>180</v>
      </c>
      <c r="E85" s="87">
        <v>180</v>
      </c>
      <c r="F85" s="88">
        <v>180</v>
      </c>
      <c r="G85" s="89">
        <v>180</v>
      </c>
      <c r="H85" s="90">
        <v>180</v>
      </c>
      <c r="I85" s="87">
        <v>184.67</v>
      </c>
      <c r="J85" s="88">
        <v>193.91</v>
      </c>
      <c r="K85" s="87">
        <v>203.61</v>
      </c>
      <c r="L85" s="88">
        <v>213.78</v>
      </c>
      <c r="M85" s="89">
        <v>224.46</v>
      </c>
      <c r="N85" s="90">
        <v>235.69</v>
      </c>
      <c r="O85" s="87">
        <v>247.47</v>
      </c>
      <c r="P85" s="88">
        <v>259.86</v>
      </c>
      <c r="Q85" s="87">
        <v>272.86</v>
      </c>
      <c r="R85" s="88">
        <v>286.49</v>
      </c>
      <c r="S85" s="89">
        <v>300.83</v>
      </c>
      <c r="T85" s="114">
        <v>315.87</v>
      </c>
      <c r="U85" s="115">
        <v>331.66</v>
      </c>
      <c r="V85" s="116">
        <v>348.23</v>
      </c>
      <c r="W85" s="115">
        <v>365.64</v>
      </c>
      <c r="X85" s="116">
        <v>383.92</v>
      </c>
      <c r="Y85" s="115">
        <v>403.12</v>
      </c>
      <c r="Z85" s="117">
        <v>423.27</v>
      </c>
    </row>
    <row r="86" spans="1:26" x14ac:dyDescent="0.2">
      <c r="A86" s="96">
        <v>37257</v>
      </c>
      <c r="B86" s="100">
        <v>180</v>
      </c>
      <c r="C86" s="101">
        <v>180</v>
      </c>
      <c r="D86" s="102">
        <v>180</v>
      </c>
      <c r="E86" s="101">
        <v>180</v>
      </c>
      <c r="F86" s="102">
        <v>180</v>
      </c>
      <c r="G86" s="103">
        <v>180</v>
      </c>
      <c r="H86" s="100">
        <v>180</v>
      </c>
      <c r="I86" s="101">
        <v>184.67</v>
      </c>
      <c r="J86" s="102">
        <v>193.91</v>
      </c>
      <c r="K86" s="101">
        <v>203.61</v>
      </c>
      <c r="L86" s="102">
        <v>213.78</v>
      </c>
      <c r="M86" s="103">
        <v>224.46</v>
      </c>
      <c r="N86" s="100">
        <v>235.69</v>
      </c>
      <c r="O86" s="101">
        <v>247.47</v>
      </c>
      <c r="P86" s="102">
        <v>259.86</v>
      </c>
      <c r="Q86" s="101">
        <v>272.86</v>
      </c>
      <c r="R86" s="102">
        <v>286.49</v>
      </c>
      <c r="S86" s="103">
        <v>300.83</v>
      </c>
      <c r="T86" s="110">
        <v>315.87</v>
      </c>
      <c r="U86" s="111">
        <v>331.66</v>
      </c>
      <c r="V86" s="112">
        <v>348.23</v>
      </c>
      <c r="W86" s="111">
        <v>365.64</v>
      </c>
      <c r="X86" s="112">
        <v>383.92</v>
      </c>
      <c r="Y86" s="111">
        <v>403.12</v>
      </c>
      <c r="Z86" s="113">
        <v>423.27</v>
      </c>
    </row>
    <row r="87" spans="1:26" x14ac:dyDescent="0.2">
      <c r="A87" s="96">
        <v>37288</v>
      </c>
      <c r="B87" s="82">
        <v>180</v>
      </c>
      <c r="C87" s="28">
        <v>180</v>
      </c>
      <c r="D87" s="80">
        <v>180</v>
      </c>
      <c r="E87" s="28">
        <v>180</v>
      </c>
      <c r="F87" s="80">
        <v>180</v>
      </c>
      <c r="G87" s="81">
        <v>180</v>
      </c>
      <c r="H87" s="82">
        <v>180</v>
      </c>
      <c r="I87" s="28">
        <v>184.67</v>
      </c>
      <c r="J87" s="80">
        <v>193.91</v>
      </c>
      <c r="K87" s="28">
        <v>203.61</v>
      </c>
      <c r="L87" s="80">
        <v>213.78</v>
      </c>
      <c r="M87" s="81">
        <v>224.46</v>
      </c>
      <c r="N87" s="82">
        <v>235.69</v>
      </c>
      <c r="O87" s="28">
        <v>247.47</v>
      </c>
      <c r="P87" s="80">
        <v>259.86</v>
      </c>
      <c r="Q87" s="28">
        <v>272.86</v>
      </c>
      <c r="R87" s="80">
        <v>286.49</v>
      </c>
      <c r="S87" s="81">
        <v>300.83</v>
      </c>
      <c r="T87" s="29">
        <v>315.87</v>
      </c>
      <c r="U87" s="30">
        <v>331.66</v>
      </c>
      <c r="V87" s="31">
        <v>348.23</v>
      </c>
      <c r="W87" s="30">
        <v>365.64</v>
      </c>
      <c r="X87" s="31">
        <v>383.92</v>
      </c>
      <c r="Y87" s="30">
        <v>403.12</v>
      </c>
      <c r="Z87" s="32">
        <v>423.27</v>
      </c>
    </row>
    <row r="88" spans="1:26" x14ac:dyDescent="0.2">
      <c r="A88" s="96">
        <v>37316</v>
      </c>
      <c r="B88" s="82">
        <v>180</v>
      </c>
      <c r="C88" s="28">
        <v>180</v>
      </c>
      <c r="D88" s="80">
        <v>180</v>
      </c>
      <c r="E88" s="28">
        <v>180</v>
      </c>
      <c r="F88" s="80">
        <v>180</v>
      </c>
      <c r="G88" s="81">
        <v>180</v>
      </c>
      <c r="H88" s="82">
        <v>180</v>
      </c>
      <c r="I88" s="28">
        <v>184.67</v>
      </c>
      <c r="J88" s="80">
        <v>193.91</v>
      </c>
      <c r="K88" s="28">
        <v>203.61</v>
      </c>
      <c r="L88" s="80">
        <v>213.78</v>
      </c>
      <c r="M88" s="81">
        <v>224.46</v>
      </c>
      <c r="N88" s="82">
        <v>235.69</v>
      </c>
      <c r="O88" s="28">
        <v>247.47</v>
      </c>
      <c r="P88" s="80">
        <v>259.86</v>
      </c>
      <c r="Q88" s="28">
        <v>272.86</v>
      </c>
      <c r="R88" s="80">
        <v>286.49</v>
      </c>
      <c r="S88" s="81">
        <v>300.83</v>
      </c>
      <c r="T88" s="29">
        <v>315.87</v>
      </c>
      <c r="U88" s="30">
        <v>331.66</v>
      </c>
      <c r="V88" s="31">
        <v>348.23</v>
      </c>
      <c r="W88" s="30">
        <v>365.64</v>
      </c>
      <c r="X88" s="31">
        <v>383.92</v>
      </c>
      <c r="Y88" s="30">
        <v>403.12</v>
      </c>
      <c r="Z88" s="32">
        <v>423.27</v>
      </c>
    </row>
    <row r="89" spans="1:26" x14ac:dyDescent="0.2">
      <c r="A89" s="96">
        <v>37347</v>
      </c>
      <c r="B89" s="82">
        <v>200</v>
      </c>
      <c r="C89" s="28">
        <v>200</v>
      </c>
      <c r="D89" s="80">
        <v>200</v>
      </c>
      <c r="E89" s="28">
        <v>200</v>
      </c>
      <c r="F89" s="80">
        <v>200</v>
      </c>
      <c r="G89" s="81">
        <v>200</v>
      </c>
      <c r="H89" s="82">
        <v>200</v>
      </c>
      <c r="I89" s="28">
        <v>200</v>
      </c>
      <c r="J89" s="80">
        <v>200</v>
      </c>
      <c r="K89" s="28">
        <v>203.61</v>
      </c>
      <c r="L89" s="80">
        <v>213.78</v>
      </c>
      <c r="M89" s="81">
        <v>224.46</v>
      </c>
      <c r="N89" s="82">
        <v>235.69</v>
      </c>
      <c r="O89" s="28">
        <v>247.47</v>
      </c>
      <c r="P89" s="80">
        <v>259.86</v>
      </c>
      <c r="Q89" s="28">
        <v>272.86</v>
      </c>
      <c r="R89" s="80">
        <v>286.49</v>
      </c>
      <c r="S89" s="81">
        <v>300.83</v>
      </c>
      <c r="T89" s="29">
        <v>315.87</v>
      </c>
      <c r="U89" s="30">
        <v>331.66</v>
      </c>
      <c r="V89" s="31">
        <v>348.23</v>
      </c>
      <c r="W89" s="30">
        <v>365.64</v>
      </c>
      <c r="X89" s="31">
        <v>383.92</v>
      </c>
      <c r="Y89" s="30">
        <v>403.12</v>
      </c>
      <c r="Z89" s="32">
        <v>423.27</v>
      </c>
    </row>
    <row r="90" spans="1:26" x14ac:dyDescent="0.2">
      <c r="A90" s="96">
        <v>37377</v>
      </c>
      <c r="B90" s="82">
        <v>200</v>
      </c>
      <c r="C90" s="28">
        <v>200</v>
      </c>
      <c r="D90" s="80">
        <v>200</v>
      </c>
      <c r="E90" s="28">
        <v>200</v>
      </c>
      <c r="F90" s="80">
        <v>200</v>
      </c>
      <c r="G90" s="81">
        <v>200</v>
      </c>
      <c r="H90" s="82">
        <v>200</v>
      </c>
      <c r="I90" s="28">
        <v>200</v>
      </c>
      <c r="J90" s="80">
        <v>200</v>
      </c>
      <c r="K90" s="28">
        <v>203.61</v>
      </c>
      <c r="L90" s="80">
        <v>213.78</v>
      </c>
      <c r="M90" s="81">
        <v>224.46</v>
      </c>
      <c r="N90" s="82">
        <v>235.69</v>
      </c>
      <c r="O90" s="28">
        <v>247.47</v>
      </c>
      <c r="P90" s="80">
        <v>259.86</v>
      </c>
      <c r="Q90" s="28">
        <v>272.86</v>
      </c>
      <c r="R90" s="80">
        <v>286.49</v>
      </c>
      <c r="S90" s="81">
        <v>300.83</v>
      </c>
      <c r="T90" s="29">
        <v>315.87</v>
      </c>
      <c r="U90" s="30">
        <v>331.66</v>
      </c>
      <c r="V90" s="31">
        <v>348.23</v>
      </c>
      <c r="W90" s="30">
        <v>365.64</v>
      </c>
      <c r="X90" s="31">
        <v>383.92</v>
      </c>
      <c r="Y90" s="30">
        <v>403.12</v>
      </c>
      <c r="Z90" s="32">
        <v>423.27</v>
      </c>
    </row>
    <row r="91" spans="1:26" x14ac:dyDescent="0.2">
      <c r="A91" s="96">
        <v>37408</v>
      </c>
      <c r="B91" s="82">
        <v>200</v>
      </c>
      <c r="C91" s="28">
        <v>200</v>
      </c>
      <c r="D91" s="80">
        <v>200</v>
      </c>
      <c r="E91" s="28">
        <v>200</v>
      </c>
      <c r="F91" s="80">
        <v>200</v>
      </c>
      <c r="G91" s="81">
        <v>200</v>
      </c>
      <c r="H91" s="82">
        <v>200</v>
      </c>
      <c r="I91" s="28">
        <v>200</v>
      </c>
      <c r="J91" s="80">
        <v>200</v>
      </c>
      <c r="K91" s="28">
        <v>203.61</v>
      </c>
      <c r="L91" s="80">
        <v>213.78</v>
      </c>
      <c r="M91" s="81">
        <v>224.46</v>
      </c>
      <c r="N91" s="82">
        <v>235.69</v>
      </c>
      <c r="O91" s="28">
        <v>247.47</v>
      </c>
      <c r="P91" s="80">
        <v>259.86</v>
      </c>
      <c r="Q91" s="28">
        <v>272.86</v>
      </c>
      <c r="R91" s="80">
        <v>286.49</v>
      </c>
      <c r="S91" s="81">
        <v>300.83</v>
      </c>
      <c r="T91" s="29">
        <v>315.87</v>
      </c>
      <c r="U91" s="30">
        <v>331.66</v>
      </c>
      <c r="V91" s="31">
        <v>348.23</v>
      </c>
      <c r="W91" s="30">
        <v>365.64</v>
      </c>
      <c r="X91" s="31">
        <v>383.92</v>
      </c>
      <c r="Y91" s="30">
        <v>403.12</v>
      </c>
      <c r="Z91" s="32">
        <v>423.27</v>
      </c>
    </row>
    <row r="92" spans="1:26" x14ac:dyDescent="0.2">
      <c r="A92" s="96">
        <v>37438</v>
      </c>
      <c r="B92" s="82">
        <v>200</v>
      </c>
      <c r="C92" s="28">
        <v>200</v>
      </c>
      <c r="D92" s="80">
        <v>200</v>
      </c>
      <c r="E92" s="28">
        <v>200</v>
      </c>
      <c r="F92" s="80">
        <v>200</v>
      </c>
      <c r="G92" s="81">
        <v>200</v>
      </c>
      <c r="H92" s="82">
        <v>200</v>
      </c>
      <c r="I92" s="28">
        <v>200</v>
      </c>
      <c r="J92" s="80">
        <v>200</v>
      </c>
      <c r="K92" s="28">
        <v>203.61</v>
      </c>
      <c r="L92" s="80">
        <v>213.78</v>
      </c>
      <c r="M92" s="81">
        <v>224.46</v>
      </c>
      <c r="N92" s="82">
        <v>235.69</v>
      </c>
      <c r="O92" s="28">
        <v>247.47</v>
      </c>
      <c r="P92" s="80">
        <v>259.86</v>
      </c>
      <c r="Q92" s="28">
        <v>272.86</v>
      </c>
      <c r="R92" s="80">
        <v>286.49</v>
      </c>
      <c r="S92" s="81">
        <v>300.83</v>
      </c>
      <c r="T92" s="29">
        <v>315.87</v>
      </c>
      <c r="U92" s="30">
        <v>331.66</v>
      </c>
      <c r="V92" s="31">
        <v>348.23</v>
      </c>
      <c r="W92" s="30">
        <v>365.64</v>
      </c>
      <c r="X92" s="31">
        <v>383.92</v>
      </c>
      <c r="Y92" s="30">
        <v>403.12</v>
      </c>
      <c r="Z92" s="32">
        <v>423.27</v>
      </c>
    </row>
    <row r="93" spans="1:26" x14ac:dyDescent="0.2">
      <c r="A93" s="96">
        <v>37469</v>
      </c>
      <c r="B93" s="82">
        <v>200</v>
      </c>
      <c r="C93" s="28">
        <v>200</v>
      </c>
      <c r="D93" s="80">
        <v>200</v>
      </c>
      <c r="E93" s="28">
        <v>200</v>
      </c>
      <c r="F93" s="80">
        <v>200</v>
      </c>
      <c r="G93" s="81">
        <v>200</v>
      </c>
      <c r="H93" s="82">
        <v>200</v>
      </c>
      <c r="I93" s="28">
        <v>200</v>
      </c>
      <c r="J93" s="80">
        <v>200</v>
      </c>
      <c r="K93" s="28">
        <v>203.61</v>
      </c>
      <c r="L93" s="80">
        <v>213.78</v>
      </c>
      <c r="M93" s="81">
        <v>224.46</v>
      </c>
      <c r="N93" s="82">
        <v>235.69</v>
      </c>
      <c r="O93" s="28">
        <v>247.47</v>
      </c>
      <c r="P93" s="80">
        <v>259.86</v>
      </c>
      <c r="Q93" s="28">
        <v>272.86</v>
      </c>
      <c r="R93" s="80">
        <v>286.49</v>
      </c>
      <c r="S93" s="81">
        <v>300.83</v>
      </c>
      <c r="T93" s="29">
        <v>315.87</v>
      </c>
      <c r="U93" s="30">
        <v>331.66</v>
      </c>
      <c r="V93" s="31">
        <v>348.23</v>
      </c>
      <c r="W93" s="30">
        <v>365.64</v>
      </c>
      <c r="X93" s="31">
        <v>383.92</v>
      </c>
      <c r="Y93" s="30">
        <v>403.12</v>
      </c>
      <c r="Z93" s="32">
        <v>423.27</v>
      </c>
    </row>
    <row r="94" spans="1:26" x14ac:dyDescent="0.2">
      <c r="A94" s="96">
        <v>37500</v>
      </c>
      <c r="B94" s="82">
        <v>200</v>
      </c>
      <c r="C94" s="28">
        <v>200</v>
      </c>
      <c r="D94" s="80">
        <v>200</v>
      </c>
      <c r="E94" s="28">
        <v>200</v>
      </c>
      <c r="F94" s="80">
        <v>200</v>
      </c>
      <c r="G94" s="81">
        <v>200</v>
      </c>
      <c r="H94" s="82">
        <v>200</v>
      </c>
      <c r="I94" s="28">
        <v>200</v>
      </c>
      <c r="J94" s="80">
        <v>200</v>
      </c>
      <c r="K94" s="28">
        <v>203.61</v>
      </c>
      <c r="L94" s="80">
        <v>213.78</v>
      </c>
      <c r="M94" s="81">
        <v>224.46</v>
      </c>
      <c r="N94" s="82">
        <v>235.69</v>
      </c>
      <c r="O94" s="28">
        <v>247.47</v>
      </c>
      <c r="P94" s="80">
        <v>259.86</v>
      </c>
      <c r="Q94" s="28">
        <v>272.86</v>
      </c>
      <c r="R94" s="80">
        <v>286.49</v>
      </c>
      <c r="S94" s="81">
        <v>300.83</v>
      </c>
      <c r="T94" s="29">
        <v>315.87</v>
      </c>
      <c r="U94" s="30">
        <v>331.66</v>
      </c>
      <c r="V94" s="31">
        <v>348.23</v>
      </c>
      <c r="W94" s="30">
        <v>365.64</v>
      </c>
      <c r="X94" s="31">
        <v>383.92</v>
      </c>
      <c r="Y94" s="30">
        <v>403.12</v>
      </c>
      <c r="Z94" s="32">
        <v>423.27</v>
      </c>
    </row>
    <row r="95" spans="1:26" x14ac:dyDescent="0.2">
      <c r="A95" s="96">
        <v>37530</v>
      </c>
      <c r="B95" s="82">
        <v>200</v>
      </c>
      <c r="C95" s="28">
        <v>200</v>
      </c>
      <c r="D95" s="80">
        <v>200</v>
      </c>
      <c r="E95" s="28">
        <v>200</v>
      </c>
      <c r="F95" s="80">
        <v>200</v>
      </c>
      <c r="G95" s="81">
        <v>200</v>
      </c>
      <c r="H95" s="82">
        <v>200</v>
      </c>
      <c r="I95" s="28">
        <v>200</v>
      </c>
      <c r="J95" s="80">
        <v>200</v>
      </c>
      <c r="K95" s="28">
        <v>203.61</v>
      </c>
      <c r="L95" s="80">
        <v>213.78</v>
      </c>
      <c r="M95" s="81">
        <v>224.46</v>
      </c>
      <c r="N95" s="82">
        <v>235.69</v>
      </c>
      <c r="O95" s="28">
        <v>247.47</v>
      </c>
      <c r="P95" s="80">
        <v>259.86</v>
      </c>
      <c r="Q95" s="28">
        <v>272.86</v>
      </c>
      <c r="R95" s="80">
        <v>286.49</v>
      </c>
      <c r="S95" s="81">
        <v>300.83</v>
      </c>
      <c r="T95" s="29">
        <v>315.87</v>
      </c>
      <c r="U95" s="30">
        <v>331.66</v>
      </c>
      <c r="V95" s="31">
        <v>348.23</v>
      </c>
      <c r="W95" s="30">
        <v>365.64</v>
      </c>
      <c r="X95" s="31">
        <v>383.92</v>
      </c>
      <c r="Y95" s="30">
        <v>403.12</v>
      </c>
      <c r="Z95" s="32">
        <v>423.27</v>
      </c>
    </row>
    <row r="96" spans="1:26" x14ac:dyDescent="0.2">
      <c r="A96" s="96">
        <v>37561</v>
      </c>
      <c r="B96" s="82">
        <v>200</v>
      </c>
      <c r="C96" s="28">
        <v>200</v>
      </c>
      <c r="D96" s="80">
        <v>200</v>
      </c>
      <c r="E96" s="28">
        <v>200</v>
      </c>
      <c r="F96" s="80">
        <v>200</v>
      </c>
      <c r="G96" s="81">
        <v>200</v>
      </c>
      <c r="H96" s="82">
        <v>200</v>
      </c>
      <c r="I96" s="28">
        <v>200</v>
      </c>
      <c r="J96" s="80">
        <v>200</v>
      </c>
      <c r="K96" s="28">
        <v>203.61</v>
      </c>
      <c r="L96" s="80">
        <v>213.78</v>
      </c>
      <c r="M96" s="81">
        <v>224.46</v>
      </c>
      <c r="N96" s="82">
        <v>235.69</v>
      </c>
      <c r="O96" s="28">
        <v>247.47</v>
      </c>
      <c r="P96" s="80">
        <v>259.86</v>
      </c>
      <c r="Q96" s="28">
        <v>272.86</v>
      </c>
      <c r="R96" s="80">
        <v>286.49</v>
      </c>
      <c r="S96" s="81">
        <v>300.83</v>
      </c>
      <c r="T96" s="29">
        <v>315.87</v>
      </c>
      <c r="U96" s="30">
        <v>331.66</v>
      </c>
      <c r="V96" s="31">
        <v>348.23</v>
      </c>
      <c r="W96" s="30">
        <v>365.64</v>
      </c>
      <c r="X96" s="31">
        <v>383.92</v>
      </c>
      <c r="Y96" s="30">
        <v>403.12</v>
      </c>
      <c r="Z96" s="32">
        <v>423.27</v>
      </c>
    </row>
    <row r="97" spans="1:26" ht="13.5" thickBot="1" x14ac:dyDescent="0.25">
      <c r="A97" s="96">
        <v>37591</v>
      </c>
      <c r="B97" s="90">
        <v>200</v>
      </c>
      <c r="C97" s="87">
        <v>200</v>
      </c>
      <c r="D97" s="88">
        <v>200</v>
      </c>
      <c r="E97" s="87">
        <v>200</v>
      </c>
      <c r="F97" s="88">
        <v>200</v>
      </c>
      <c r="G97" s="89">
        <v>200</v>
      </c>
      <c r="H97" s="90">
        <v>200</v>
      </c>
      <c r="I97" s="87">
        <v>200</v>
      </c>
      <c r="J97" s="88">
        <v>200</v>
      </c>
      <c r="K97" s="87">
        <v>203.61</v>
      </c>
      <c r="L97" s="88">
        <v>213.78</v>
      </c>
      <c r="M97" s="89">
        <v>224.46</v>
      </c>
      <c r="N97" s="90">
        <v>235.69</v>
      </c>
      <c r="O97" s="87">
        <v>247.47</v>
      </c>
      <c r="P97" s="88">
        <v>259.86</v>
      </c>
      <c r="Q97" s="87">
        <v>272.86</v>
      </c>
      <c r="R97" s="88">
        <v>286.49</v>
      </c>
      <c r="S97" s="89">
        <v>300.83</v>
      </c>
      <c r="T97" s="114">
        <v>315.87</v>
      </c>
      <c r="U97" s="115">
        <v>331.66</v>
      </c>
      <c r="V97" s="116">
        <v>348.23</v>
      </c>
      <c r="W97" s="115">
        <v>365.64</v>
      </c>
      <c r="X97" s="116">
        <v>383.92</v>
      </c>
      <c r="Y97" s="115">
        <v>403.12</v>
      </c>
      <c r="Z97" s="117">
        <v>423.27</v>
      </c>
    </row>
    <row r="98" spans="1:26" x14ac:dyDescent="0.2">
      <c r="A98" s="96">
        <v>37622</v>
      </c>
      <c r="B98" s="100">
        <v>200</v>
      </c>
      <c r="C98" s="101">
        <v>200</v>
      </c>
      <c r="D98" s="102">
        <v>200</v>
      </c>
      <c r="E98" s="101">
        <v>200</v>
      </c>
      <c r="F98" s="102">
        <v>200</v>
      </c>
      <c r="G98" s="103">
        <v>200</v>
      </c>
      <c r="H98" s="100">
        <v>200</v>
      </c>
      <c r="I98" s="101">
        <v>200</v>
      </c>
      <c r="J98" s="102">
        <v>200</v>
      </c>
      <c r="K98" s="101">
        <v>203.61</v>
      </c>
      <c r="L98" s="102">
        <v>213.78</v>
      </c>
      <c r="M98" s="103">
        <v>224.46</v>
      </c>
      <c r="N98" s="100">
        <v>235.69</v>
      </c>
      <c r="O98" s="101">
        <v>247.47</v>
      </c>
      <c r="P98" s="102">
        <v>259.86</v>
      </c>
      <c r="Q98" s="101">
        <v>272.86</v>
      </c>
      <c r="R98" s="102">
        <v>286.49</v>
      </c>
      <c r="S98" s="103">
        <v>300.83</v>
      </c>
      <c r="T98" s="110">
        <v>315.87</v>
      </c>
      <c r="U98" s="111">
        <v>331.66</v>
      </c>
      <c r="V98" s="112">
        <v>348.23</v>
      </c>
      <c r="W98" s="111">
        <v>365.64</v>
      </c>
      <c r="X98" s="112">
        <v>383.92</v>
      </c>
      <c r="Y98" s="111">
        <v>403.12</v>
      </c>
      <c r="Z98" s="113">
        <v>423.27</v>
      </c>
    </row>
    <row r="99" spans="1:26" x14ac:dyDescent="0.2">
      <c r="A99" s="96">
        <v>37653</v>
      </c>
      <c r="B99" s="82">
        <v>223.44</v>
      </c>
      <c r="C99" s="28">
        <v>223.44</v>
      </c>
      <c r="D99" s="80">
        <v>223.44</v>
      </c>
      <c r="E99" s="28">
        <v>223.44</v>
      </c>
      <c r="F99" s="80">
        <v>223.44</v>
      </c>
      <c r="G99" s="81">
        <v>223.44</v>
      </c>
      <c r="H99" s="82">
        <v>223.44</v>
      </c>
      <c r="I99" s="28">
        <v>223.44</v>
      </c>
      <c r="J99" s="80">
        <v>223.44</v>
      </c>
      <c r="K99" s="28">
        <v>233.62</v>
      </c>
      <c r="L99" s="80">
        <v>245.29</v>
      </c>
      <c r="M99" s="81">
        <v>257.55</v>
      </c>
      <c r="N99" s="82">
        <v>270.43</v>
      </c>
      <c r="O99" s="28">
        <v>283.95</v>
      </c>
      <c r="P99" s="80">
        <v>298.16000000000003</v>
      </c>
      <c r="Q99" s="28">
        <v>313.08</v>
      </c>
      <c r="R99" s="80">
        <v>328.72</v>
      </c>
      <c r="S99" s="81">
        <v>345.17</v>
      </c>
      <c r="T99" s="33">
        <v>362.43</v>
      </c>
      <c r="U99" s="34">
        <v>380.55</v>
      </c>
      <c r="V99" s="35">
        <v>399.56</v>
      </c>
      <c r="W99" s="34">
        <v>419.54</v>
      </c>
      <c r="X99" s="35">
        <v>440.51</v>
      </c>
      <c r="Y99" s="34">
        <v>462.54</v>
      </c>
      <c r="Z99" s="36">
        <v>485.66</v>
      </c>
    </row>
    <row r="100" spans="1:26" x14ac:dyDescent="0.2">
      <c r="A100" s="96">
        <v>37681</v>
      </c>
      <c r="B100" s="82">
        <v>223.44</v>
      </c>
      <c r="C100" s="28">
        <v>223.44</v>
      </c>
      <c r="D100" s="80">
        <v>223.44</v>
      </c>
      <c r="E100" s="28">
        <v>223.44</v>
      </c>
      <c r="F100" s="80">
        <v>223.44</v>
      </c>
      <c r="G100" s="81">
        <v>223.44</v>
      </c>
      <c r="H100" s="82">
        <v>223.44</v>
      </c>
      <c r="I100" s="28">
        <v>223.44</v>
      </c>
      <c r="J100" s="80">
        <v>223.44</v>
      </c>
      <c r="K100" s="28">
        <v>233.62</v>
      </c>
      <c r="L100" s="80">
        <v>245.29</v>
      </c>
      <c r="M100" s="81">
        <v>257.55</v>
      </c>
      <c r="N100" s="82">
        <v>270.43</v>
      </c>
      <c r="O100" s="28">
        <v>283.95</v>
      </c>
      <c r="P100" s="80">
        <v>298.16000000000003</v>
      </c>
      <c r="Q100" s="28">
        <v>313.08</v>
      </c>
      <c r="R100" s="80">
        <v>328.72</v>
      </c>
      <c r="S100" s="81">
        <v>345.17</v>
      </c>
      <c r="T100" s="33">
        <v>362.43</v>
      </c>
      <c r="U100" s="34">
        <v>380.55</v>
      </c>
      <c r="V100" s="35">
        <v>399.56</v>
      </c>
      <c r="W100" s="34">
        <v>419.54</v>
      </c>
      <c r="X100" s="35">
        <v>440.51</v>
      </c>
      <c r="Y100" s="34">
        <v>462.54</v>
      </c>
      <c r="Z100" s="36">
        <v>485.66</v>
      </c>
    </row>
    <row r="101" spans="1:26" x14ac:dyDescent="0.2">
      <c r="A101" s="96">
        <v>37712</v>
      </c>
      <c r="B101" s="82">
        <v>223.44</v>
      </c>
      <c r="C101" s="28">
        <v>223.44</v>
      </c>
      <c r="D101" s="80">
        <v>223.44</v>
      </c>
      <c r="E101" s="28">
        <v>223.44</v>
      </c>
      <c r="F101" s="80">
        <v>223.44</v>
      </c>
      <c r="G101" s="81">
        <v>223.44</v>
      </c>
      <c r="H101" s="82">
        <v>223.44</v>
      </c>
      <c r="I101" s="28">
        <v>223.44</v>
      </c>
      <c r="J101" s="80">
        <v>223.44</v>
      </c>
      <c r="K101" s="28">
        <v>233.62</v>
      </c>
      <c r="L101" s="80">
        <v>245.29</v>
      </c>
      <c r="M101" s="81">
        <v>257.55</v>
      </c>
      <c r="N101" s="82">
        <v>270.43</v>
      </c>
      <c r="O101" s="28">
        <v>283.95</v>
      </c>
      <c r="P101" s="80">
        <v>298.16000000000003</v>
      </c>
      <c r="Q101" s="28">
        <v>313.08</v>
      </c>
      <c r="R101" s="80">
        <v>328.72</v>
      </c>
      <c r="S101" s="81">
        <v>345.17</v>
      </c>
      <c r="T101" s="33">
        <v>362.43</v>
      </c>
      <c r="U101" s="34">
        <v>380.55</v>
      </c>
      <c r="V101" s="35">
        <v>399.56</v>
      </c>
      <c r="W101" s="34">
        <v>419.54</v>
      </c>
      <c r="X101" s="35">
        <v>440.51</v>
      </c>
      <c r="Y101" s="34">
        <v>462.54</v>
      </c>
      <c r="Z101" s="36">
        <v>485.66</v>
      </c>
    </row>
    <row r="102" spans="1:26" x14ac:dyDescent="0.2">
      <c r="A102" s="96">
        <v>37742</v>
      </c>
      <c r="B102" s="82">
        <v>240</v>
      </c>
      <c r="C102" s="28">
        <v>240</v>
      </c>
      <c r="D102" s="80">
        <v>240</v>
      </c>
      <c r="E102" s="28">
        <v>240</v>
      </c>
      <c r="F102" s="80">
        <v>240</v>
      </c>
      <c r="G102" s="81">
        <v>240</v>
      </c>
      <c r="H102" s="82">
        <v>240</v>
      </c>
      <c r="I102" s="28">
        <v>240</v>
      </c>
      <c r="J102" s="80">
        <v>240</v>
      </c>
      <c r="K102" s="28">
        <v>240</v>
      </c>
      <c r="L102" s="80">
        <v>245.29</v>
      </c>
      <c r="M102" s="81">
        <v>257.55</v>
      </c>
      <c r="N102" s="82">
        <v>270.43</v>
      </c>
      <c r="O102" s="28">
        <v>283.95</v>
      </c>
      <c r="P102" s="80">
        <v>298.16000000000003</v>
      </c>
      <c r="Q102" s="28">
        <v>313.08</v>
      </c>
      <c r="R102" s="80">
        <v>328.72</v>
      </c>
      <c r="S102" s="81">
        <v>345.17</v>
      </c>
      <c r="T102" s="33">
        <v>362.43</v>
      </c>
      <c r="U102" s="34">
        <v>380.55</v>
      </c>
      <c r="V102" s="35">
        <v>399.56</v>
      </c>
      <c r="W102" s="34">
        <v>419.54</v>
      </c>
      <c r="X102" s="35">
        <v>440.51</v>
      </c>
      <c r="Y102" s="34">
        <v>462.54</v>
      </c>
      <c r="Z102" s="36">
        <v>485.66</v>
      </c>
    </row>
    <row r="103" spans="1:26" x14ac:dyDescent="0.2">
      <c r="A103" s="96">
        <v>37773</v>
      </c>
      <c r="B103" s="82">
        <v>240</v>
      </c>
      <c r="C103" s="28">
        <v>240.25</v>
      </c>
      <c r="D103" s="80">
        <v>240.51</v>
      </c>
      <c r="E103" s="28">
        <v>240.79</v>
      </c>
      <c r="F103" s="80">
        <v>241.08</v>
      </c>
      <c r="G103" s="81">
        <v>241.38</v>
      </c>
      <c r="H103" s="82">
        <v>241.7</v>
      </c>
      <c r="I103" s="28">
        <v>242.04</v>
      </c>
      <c r="J103" s="80">
        <v>242.39</v>
      </c>
      <c r="K103" s="28">
        <v>242.76</v>
      </c>
      <c r="L103" s="80">
        <v>248.32</v>
      </c>
      <c r="M103" s="81">
        <v>260.74</v>
      </c>
      <c r="N103" s="82">
        <v>273.77999999999997</v>
      </c>
      <c r="O103" s="28">
        <v>287.45999999999998</v>
      </c>
      <c r="P103" s="80">
        <v>301.85000000000002</v>
      </c>
      <c r="Q103" s="28">
        <v>316.95</v>
      </c>
      <c r="R103" s="80">
        <v>332.79</v>
      </c>
      <c r="S103" s="81">
        <v>349.44</v>
      </c>
      <c r="T103" s="82">
        <v>366.91</v>
      </c>
      <c r="U103" s="34">
        <v>385.26</v>
      </c>
      <c r="V103" s="35">
        <v>404.5</v>
      </c>
      <c r="W103" s="34">
        <v>424.73</v>
      </c>
      <c r="X103" s="35">
        <v>445.96</v>
      </c>
      <c r="Y103" s="34">
        <v>468.26</v>
      </c>
      <c r="Z103" s="36">
        <v>491.67</v>
      </c>
    </row>
    <row r="104" spans="1:26" x14ac:dyDescent="0.2">
      <c r="A104" s="96">
        <v>37803</v>
      </c>
      <c r="B104" s="82">
        <v>240</v>
      </c>
      <c r="C104" s="28">
        <v>240.5</v>
      </c>
      <c r="D104" s="80">
        <v>241.03</v>
      </c>
      <c r="E104" s="28">
        <v>241.58</v>
      </c>
      <c r="F104" s="80">
        <v>242.16</v>
      </c>
      <c r="G104" s="81">
        <v>242.76</v>
      </c>
      <c r="H104" s="82">
        <v>243.4</v>
      </c>
      <c r="I104" s="28">
        <v>244.07</v>
      </c>
      <c r="J104" s="80">
        <v>244.77</v>
      </c>
      <c r="K104" s="28">
        <v>245.51</v>
      </c>
      <c r="L104" s="80">
        <v>251.36</v>
      </c>
      <c r="M104" s="81">
        <v>263.92</v>
      </c>
      <c r="N104" s="82">
        <v>277.12</v>
      </c>
      <c r="O104" s="28">
        <v>290.98</v>
      </c>
      <c r="P104" s="80">
        <v>305.54000000000002</v>
      </c>
      <c r="Q104" s="28">
        <v>320.82</v>
      </c>
      <c r="R104" s="80">
        <v>336.85</v>
      </c>
      <c r="S104" s="81">
        <v>353.71</v>
      </c>
      <c r="T104" s="82">
        <v>371.4</v>
      </c>
      <c r="U104" s="34">
        <v>389.96</v>
      </c>
      <c r="V104" s="35">
        <v>409.44</v>
      </c>
      <c r="W104" s="34">
        <v>429.92</v>
      </c>
      <c r="X104" s="35">
        <v>451.41</v>
      </c>
      <c r="Y104" s="34">
        <v>473.98</v>
      </c>
      <c r="Z104" s="36">
        <v>497.68</v>
      </c>
    </row>
    <row r="105" spans="1:26" x14ac:dyDescent="0.2">
      <c r="A105" s="96">
        <v>37834</v>
      </c>
      <c r="B105" s="82">
        <v>240</v>
      </c>
      <c r="C105" s="28">
        <v>240.75</v>
      </c>
      <c r="D105" s="80">
        <v>241.54</v>
      </c>
      <c r="E105" s="28">
        <v>242.36</v>
      </c>
      <c r="F105" s="80">
        <v>243.23</v>
      </c>
      <c r="G105" s="81">
        <v>244.14</v>
      </c>
      <c r="H105" s="82">
        <v>245.1</v>
      </c>
      <c r="I105" s="28">
        <v>246.11</v>
      </c>
      <c r="J105" s="80">
        <v>247.15</v>
      </c>
      <c r="K105" s="28">
        <v>248.27</v>
      </c>
      <c r="L105" s="80">
        <v>254.39</v>
      </c>
      <c r="M105" s="81">
        <v>267.11</v>
      </c>
      <c r="N105" s="82">
        <v>280.47000000000003</v>
      </c>
      <c r="O105" s="28">
        <v>294.49</v>
      </c>
      <c r="P105" s="80">
        <v>309.22000000000003</v>
      </c>
      <c r="Q105" s="28">
        <v>324.7</v>
      </c>
      <c r="R105" s="80">
        <v>340.92</v>
      </c>
      <c r="S105" s="81">
        <v>357.98</v>
      </c>
      <c r="T105" s="33">
        <v>375.88</v>
      </c>
      <c r="U105" s="34">
        <v>394.67</v>
      </c>
      <c r="V105" s="35">
        <v>414.39</v>
      </c>
      <c r="W105" s="34">
        <v>435.11</v>
      </c>
      <c r="X105" s="35">
        <v>456.86</v>
      </c>
      <c r="Y105" s="34">
        <v>479.7</v>
      </c>
      <c r="Z105" s="36">
        <v>503.68</v>
      </c>
    </row>
    <row r="106" spans="1:26" x14ac:dyDescent="0.2">
      <c r="A106" s="96">
        <v>37865</v>
      </c>
      <c r="B106" s="82">
        <v>240</v>
      </c>
      <c r="C106" s="28">
        <v>241</v>
      </c>
      <c r="D106" s="80">
        <v>242.05</v>
      </c>
      <c r="E106" s="28">
        <v>243.15</v>
      </c>
      <c r="F106" s="80">
        <v>244.31</v>
      </c>
      <c r="G106" s="81">
        <v>245.53</v>
      </c>
      <c r="H106" s="82">
        <v>246.8</v>
      </c>
      <c r="I106" s="28">
        <v>248.14</v>
      </c>
      <c r="J106" s="80">
        <v>249.55</v>
      </c>
      <c r="K106" s="28">
        <v>251.03</v>
      </c>
      <c r="L106" s="80">
        <v>257.43</v>
      </c>
      <c r="M106" s="81">
        <v>270.29000000000002</v>
      </c>
      <c r="N106" s="82">
        <v>283.81</v>
      </c>
      <c r="O106" s="28">
        <v>298</v>
      </c>
      <c r="P106" s="80">
        <v>312.91000000000003</v>
      </c>
      <c r="Q106" s="28">
        <v>328.57</v>
      </c>
      <c r="R106" s="80">
        <v>344.98</v>
      </c>
      <c r="S106" s="81">
        <v>362.25</v>
      </c>
      <c r="T106" s="33">
        <v>380.36</v>
      </c>
      <c r="U106" s="34">
        <v>399.38</v>
      </c>
      <c r="V106" s="35">
        <v>419.33</v>
      </c>
      <c r="W106" s="34">
        <v>440.3</v>
      </c>
      <c r="X106" s="35">
        <v>462.31</v>
      </c>
      <c r="Y106" s="34">
        <v>485.43</v>
      </c>
      <c r="Z106" s="36">
        <v>509.69</v>
      </c>
    </row>
    <row r="107" spans="1:26" x14ac:dyDescent="0.2">
      <c r="A107" s="96">
        <v>37895</v>
      </c>
      <c r="B107" s="82">
        <v>240</v>
      </c>
      <c r="C107" s="28">
        <v>241.25</v>
      </c>
      <c r="D107" s="80">
        <v>242.56000000000003</v>
      </c>
      <c r="E107" s="28">
        <v>243.94</v>
      </c>
      <c r="F107" s="80">
        <v>245.39000000000001</v>
      </c>
      <c r="G107" s="81">
        <v>246.91</v>
      </c>
      <c r="H107" s="82">
        <v>248.50000000000003</v>
      </c>
      <c r="I107" s="28">
        <v>250.18</v>
      </c>
      <c r="J107" s="80">
        <v>251.94000000000003</v>
      </c>
      <c r="K107" s="28">
        <v>253.78</v>
      </c>
      <c r="L107" s="80">
        <v>260.45999999999998</v>
      </c>
      <c r="M107" s="81">
        <v>273.48</v>
      </c>
      <c r="N107" s="82">
        <v>287.16000000000003</v>
      </c>
      <c r="O107" s="28">
        <v>301.51</v>
      </c>
      <c r="P107" s="80">
        <v>316.60000000000002</v>
      </c>
      <c r="Q107" s="28">
        <v>332.44</v>
      </c>
      <c r="R107" s="80">
        <v>349.05</v>
      </c>
      <c r="S107" s="81">
        <v>366.51</v>
      </c>
      <c r="T107" s="33">
        <v>384.84000000000003</v>
      </c>
      <c r="U107" s="34">
        <v>404.08</v>
      </c>
      <c r="V107" s="35">
        <v>424.27</v>
      </c>
      <c r="W107" s="34">
        <v>445.49</v>
      </c>
      <c r="X107" s="35">
        <v>467.75</v>
      </c>
      <c r="Y107" s="34">
        <v>491.15</v>
      </c>
      <c r="Z107" s="36">
        <v>515.70000000000005</v>
      </c>
    </row>
    <row r="108" spans="1:26" x14ac:dyDescent="0.2">
      <c r="A108" s="96">
        <v>37926</v>
      </c>
      <c r="B108" s="82">
        <v>240</v>
      </c>
      <c r="C108" s="28">
        <v>241.5</v>
      </c>
      <c r="D108" s="80">
        <v>243.08</v>
      </c>
      <c r="E108" s="28">
        <v>244.73</v>
      </c>
      <c r="F108" s="80">
        <v>246.47000000000003</v>
      </c>
      <c r="G108" s="81">
        <v>248.29</v>
      </c>
      <c r="H108" s="82">
        <v>250.20000000000005</v>
      </c>
      <c r="I108" s="28">
        <v>252.21</v>
      </c>
      <c r="J108" s="80">
        <v>254.32</v>
      </c>
      <c r="K108" s="28">
        <v>256.54000000000002</v>
      </c>
      <c r="L108" s="80">
        <v>263.5</v>
      </c>
      <c r="M108" s="81">
        <v>276.67</v>
      </c>
      <c r="N108" s="82">
        <v>290.5</v>
      </c>
      <c r="O108" s="28">
        <v>305.02999999999997</v>
      </c>
      <c r="P108" s="80">
        <v>320.29000000000002</v>
      </c>
      <c r="Q108" s="28">
        <v>336.31</v>
      </c>
      <c r="R108" s="80">
        <v>353.12</v>
      </c>
      <c r="S108" s="81">
        <v>370.78</v>
      </c>
      <c r="T108" s="33">
        <v>389.33</v>
      </c>
      <c r="U108" s="34">
        <v>408.79</v>
      </c>
      <c r="V108" s="35">
        <v>429.21</v>
      </c>
      <c r="W108" s="34">
        <v>450.68</v>
      </c>
      <c r="X108" s="35">
        <v>473.2</v>
      </c>
      <c r="Y108" s="34">
        <v>496.87</v>
      </c>
      <c r="Z108" s="36">
        <v>521.71</v>
      </c>
    </row>
    <row r="109" spans="1:26" ht="13.5" thickBot="1" x14ac:dyDescent="0.25">
      <c r="A109" s="96">
        <v>37956</v>
      </c>
      <c r="B109" s="90">
        <v>240</v>
      </c>
      <c r="C109" s="87">
        <v>241.75</v>
      </c>
      <c r="D109" s="88">
        <v>243.59</v>
      </c>
      <c r="E109" s="87">
        <v>245.51999999999998</v>
      </c>
      <c r="F109" s="88">
        <v>247.54</v>
      </c>
      <c r="G109" s="89">
        <v>249.67</v>
      </c>
      <c r="H109" s="90">
        <v>251.90000000000006</v>
      </c>
      <c r="I109" s="87">
        <v>254.25</v>
      </c>
      <c r="J109" s="88">
        <v>256.70999999999998</v>
      </c>
      <c r="K109" s="87">
        <v>259.3</v>
      </c>
      <c r="L109" s="88">
        <v>266.52999999999997</v>
      </c>
      <c r="M109" s="89">
        <v>279.85000000000002</v>
      </c>
      <c r="N109" s="90">
        <v>293.85000000000002</v>
      </c>
      <c r="O109" s="87">
        <v>308.54000000000002</v>
      </c>
      <c r="P109" s="88">
        <v>323.98</v>
      </c>
      <c r="Q109" s="87">
        <v>340.18</v>
      </c>
      <c r="R109" s="88">
        <v>357.18</v>
      </c>
      <c r="S109" s="89">
        <v>375.05</v>
      </c>
      <c r="T109" s="45">
        <v>393.81</v>
      </c>
      <c r="U109" s="43">
        <v>413.5</v>
      </c>
      <c r="V109" s="42">
        <v>434.16</v>
      </c>
      <c r="W109" s="43">
        <v>455.87</v>
      </c>
      <c r="X109" s="42">
        <v>478.65</v>
      </c>
      <c r="Y109" s="43">
        <v>502.59</v>
      </c>
      <c r="Z109" s="44">
        <v>527.71</v>
      </c>
    </row>
    <row r="110" spans="1:26" x14ac:dyDescent="0.2">
      <c r="A110" s="96">
        <v>37987</v>
      </c>
      <c r="B110" s="100">
        <v>240</v>
      </c>
      <c r="C110" s="101">
        <v>242</v>
      </c>
      <c r="D110" s="102">
        <v>244.1</v>
      </c>
      <c r="E110" s="101">
        <v>246.30999999999997</v>
      </c>
      <c r="F110" s="102">
        <v>248.62</v>
      </c>
      <c r="G110" s="103">
        <v>251.05</v>
      </c>
      <c r="H110" s="100">
        <v>253.60000000000008</v>
      </c>
      <c r="I110" s="101">
        <v>256.27999999999997</v>
      </c>
      <c r="J110" s="102">
        <v>259.10000000000002</v>
      </c>
      <c r="K110" s="101">
        <v>262.05</v>
      </c>
      <c r="L110" s="102">
        <v>269.56</v>
      </c>
      <c r="M110" s="103">
        <v>283.04000000000002</v>
      </c>
      <c r="N110" s="100">
        <v>297.19</v>
      </c>
      <c r="O110" s="101">
        <v>312.05</v>
      </c>
      <c r="P110" s="102">
        <v>327.66000000000003</v>
      </c>
      <c r="Q110" s="101">
        <v>344.06</v>
      </c>
      <c r="R110" s="102">
        <v>361.25</v>
      </c>
      <c r="S110" s="103">
        <v>379.32</v>
      </c>
      <c r="T110" s="104">
        <v>398.29</v>
      </c>
      <c r="U110" s="105">
        <v>418.2</v>
      </c>
      <c r="V110" s="106">
        <v>439.1</v>
      </c>
      <c r="W110" s="105">
        <v>461.06</v>
      </c>
      <c r="X110" s="106">
        <v>484.1</v>
      </c>
      <c r="Y110" s="105">
        <v>508.31</v>
      </c>
      <c r="Z110" s="107">
        <v>533.72</v>
      </c>
    </row>
    <row r="111" spans="1:26" x14ac:dyDescent="0.2">
      <c r="A111" s="96">
        <v>38018</v>
      </c>
      <c r="B111" s="82">
        <v>240</v>
      </c>
      <c r="C111" s="28">
        <v>242.25</v>
      </c>
      <c r="D111" s="80">
        <v>244.1</v>
      </c>
      <c r="E111" s="28">
        <v>247.09</v>
      </c>
      <c r="F111" s="80">
        <v>249.7</v>
      </c>
      <c r="G111" s="81">
        <v>252.43</v>
      </c>
      <c r="H111" s="82">
        <v>255.3000000000001</v>
      </c>
      <c r="I111" s="28">
        <v>258.32</v>
      </c>
      <c r="J111" s="80">
        <v>261.49</v>
      </c>
      <c r="K111" s="28">
        <v>264.81</v>
      </c>
      <c r="L111" s="80">
        <v>272.60000000000002</v>
      </c>
      <c r="M111" s="81">
        <v>286.22000000000003</v>
      </c>
      <c r="N111" s="82">
        <v>300.54000000000002</v>
      </c>
      <c r="O111" s="28">
        <v>315.56</v>
      </c>
      <c r="P111" s="80">
        <v>331.35</v>
      </c>
      <c r="Q111" s="28">
        <v>347.93</v>
      </c>
      <c r="R111" s="80">
        <v>365.31</v>
      </c>
      <c r="S111" s="81">
        <v>383.59</v>
      </c>
      <c r="T111" s="33">
        <v>402.77</v>
      </c>
      <c r="U111" s="34">
        <v>422.91</v>
      </c>
      <c r="V111" s="35">
        <v>444.04</v>
      </c>
      <c r="W111" s="34">
        <v>466.24</v>
      </c>
      <c r="X111" s="35">
        <v>489.55</v>
      </c>
      <c r="Y111" s="34">
        <v>514.03</v>
      </c>
      <c r="Z111" s="36">
        <v>539.73</v>
      </c>
    </row>
    <row r="112" spans="1:26" x14ac:dyDescent="0.2">
      <c r="A112" s="96">
        <v>38047</v>
      </c>
      <c r="B112" s="82">
        <v>240</v>
      </c>
      <c r="C112" s="28">
        <v>242.5</v>
      </c>
      <c r="D112" s="80">
        <v>245.13</v>
      </c>
      <c r="E112" s="28">
        <v>247.88</v>
      </c>
      <c r="F112" s="80">
        <v>250.78</v>
      </c>
      <c r="G112" s="81">
        <v>253.81</v>
      </c>
      <c r="H112" s="82">
        <v>257.00000000000011</v>
      </c>
      <c r="I112" s="28">
        <v>260.35000000000002</v>
      </c>
      <c r="J112" s="80">
        <v>263.87</v>
      </c>
      <c r="K112" s="28">
        <v>267.57</v>
      </c>
      <c r="L112" s="80">
        <v>275.63</v>
      </c>
      <c r="M112" s="81">
        <v>289.41000000000003</v>
      </c>
      <c r="N112" s="82">
        <v>303.88</v>
      </c>
      <c r="O112" s="28">
        <v>319.08</v>
      </c>
      <c r="P112" s="80">
        <v>335.04</v>
      </c>
      <c r="Q112" s="28">
        <v>351.8</v>
      </c>
      <c r="R112" s="80">
        <v>369.38</v>
      </c>
      <c r="S112" s="81">
        <v>387.86</v>
      </c>
      <c r="T112" s="33">
        <v>407.26</v>
      </c>
      <c r="U112" s="34">
        <v>427.62</v>
      </c>
      <c r="V112" s="35">
        <v>448.98</v>
      </c>
      <c r="W112" s="34">
        <v>471.43</v>
      </c>
      <c r="X112" s="35">
        <v>495</v>
      </c>
      <c r="Y112" s="34">
        <v>519.75</v>
      </c>
      <c r="Z112" s="36">
        <v>545.74</v>
      </c>
    </row>
    <row r="113" spans="1:26" x14ac:dyDescent="0.2">
      <c r="A113" s="96">
        <v>38078</v>
      </c>
      <c r="B113" s="82">
        <v>240</v>
      </c>
      <c r="C113" s="28">
        <v>242.75</v>
      </c>
      <c r="D113" s="80">
        <v>245.64</v>
      </c>
      <c r="E113" s="28">
        <v>248.67</v>
      </c>
      <c r="F113" s="80">
        <v>251.85</v>
      </c>
      <c r="G113" s="81">
        <v>255.2</v>
      </c>
      <c r="H113" s="82">
        <v>258.70000000000016</v>
      </c>
      <c r="I113" s="28">
        <v>262.39</v>
      </c>
      <c r="J113" s="80">
        <v>266.26</v>
      </c>
      <c r="K113" s="28">
        <v>270.32</v>
      </c>
      <c r="L113" s="80">
        <v>278.67</v>
      </c>
      <c r="M113" s="81">
        <v>292.60000000000002</v>
      </c>
      <c r="N113" s="82">
        <v>307.23</v>
      </c>
      <c r="O113" s="28">
        <v>322.58999999999997</v>
      </c>
      <c r="P113" s="80">
        <v>338.73</v>
      </c>
      <c r="Q113" s="28">
        <v>355.67</v>
      </c>
      <c r="R113" s="80">
        <v>373.45</v>
      </c>
      <c r="S113" s="81">
        <v>392.13</v>
      </c>
      <c r="T113" s="33">
        <v>411.74</v>
      </c>
      <c r="U113" s="34">
        <v>432.32</v>
      </c>
      <c r="V113" s="35">
        <v>453.93</v>
      </c>
      <c r="W113" s="34">
        <v>476.62</v>
      </c>
      <c r="X113" s="35">
        <v>500.45</v>
      </c>
      <c r="Y113" s="34">
        <v>525.48</v>
      </c>
      <c r="Z113" s="36">
        <v>551.74</v>
      </c>
    </row>
    <row r="114" spans="1:26" x14ac:dyDescent="0.2">
      <c r="A114" s="96">
        <v>38108</v>
      </c>
      <c r="B114" s="82">
        <v>240</v>
      </c>
      <c r="C114" s="28">
        <v>243</v>
      </c>
      <c r="D114" s="80">
        <v>246.15</v>
      </c>
      <c r="E114" s="28">
        <v>249.46</v>
      </c>
      <c r="F114" s="80">
        <v>252.93</v>
      </c>
      <c r="G114" s="81">
        <v>256.58</v>
      </c>
      <c r="H114" s="82">
        <v>260.41000000000003</v>
      </c>
      <c r="I114" s="28">
        <v>264.43</v>
      </c>
      <c r="J114" s="80">
        <v>268.64999999999998</v>
      </c>
      <c r="K114" s="28">
        <v>273.08</v>
      </c>
      <c r="L114" s="80">
        <v>281.7</v>
      </c>
      <c r="M114" s="81">
        <v>295.77999999999997</v>
      </c>
      <c r="N114" s="82">
        <v>310.58</v>
      </c>
      <c r="O114" s="28">
        <v>326.10000000000002</v>
      </c>
      <c r="P114" s="80">
        <v>342.42</v>
      </c>
      <c r="Q114" s="28">
        <v>359.55</v>
      </c>
      <c r="R114" s="80">
        <v>377.51</v>
      </c>
      <c r="S114" s="81">
        <v>396.4</v>
      </c>
      <c r="T114" s="33">
        <v>416.22</v>
      </c>
      <c r="U114" s="34">
        <v>437.03</v>
      </c>
      <c r="V114" s="35">
        <v>458.87</v>
      </c>
      <c r="W114" s="34">
        <v>481.81</v>
      </c>
      <c r="X114" s="35">
        <v>505.9</v>
      </c>
      <c r="Y114" s="34">
        <v>531.20000000000005</v>
      </c>
      <c r="Z114" s="36">
        <v>557.75</v>
      </c>
    </row>
    <row r="115" spans="1:26" x14ac:dyDescent="0.2">
      <c r="A115" s="96">
        <v>38139</v>
      </c>
      <c r="B115" s="82">
        <v>260</v>
      </c>
      <c r="C115" s="28">
        <v>260</v>
      </c>
      <c r="D115" s="80">
        <v>260</v>
      </c>
      <c r="E115" s="28">
        <v>260</v>
      </c>
      <c r="F115" s="80">
        <v>260</v>
      </c>
      <c r="G115" s="81">
        <v>264.87</v>
      </c>
      <c r="H115" s="82">
        <v>270.61</v>
      </c>
      <c r="I115" s="28">
        <v>276.64</v>
      </c>
      <c r="J115" s="80">
        <v>282.97000000000003</v>
      </c>
      <c r="K115" s="28">
        <v>289.62</v>
      </c>
      <c r="L115" s="80">
        <v>299.91000000000003</v>
      </c>
      <c r="M115" s="81">
        <v>314.89999999999998</v>
      </c>
      <c r="N115" s="82">
        <v>330.65</v>
      </c>
      <c r="O115" s="28">
        <v>347.18</v>
      </c>
      <c r="P115" s="80">
        <v>364.54</v>
      </c>
      <c r="Q115" s="28">
        <v>382.78</v>
      </c>
      <c r="R115" s="80">
        <v>401.91</v>
      </c>
      <c r="S115" s="81">
        <v>422.01</v>
      </c>
      <c r="T115" s="33">
        <v>443.12</v>
      </c>
      <c r="U115" s="34">
        <v>465.27</v>
      </c>
      <c r="V115" s="35">
        <v>488.52</v>
      </c>
      <c r="W115" s="34">
        <v>512.95000000000005</v>
      </c>
      <c r="X115" s="35">
        <v>538.59</v>
      </c>
      <c r="Y115" s="34">
        <v>565.53</v>
      </c>
      <c r="Z115" s="36">
        <v>593.79999999999995</v>
      </c>
    </row>
    <row r="116" spans="1:26" x14ac:dyDescent="0.2">
      <c r="A116" s="96">
        <v>38169</v>
      </c>
      <c r="B116" s="82">
        <v>260</v>
      </c>
      <c r="C116" s="28">
        <v>260</v>
      </c>
      <c r="D116" s="80">
        <v>260</v>
      </c>
      <c r="E116" s="28">
        <v>260</v>
      </c>
      <c r="F116" s="80">
        <v>260</v>
      </c>
      <c r="G116" s="81">
        <v>264.87</v>
      </c>
      <c r="H116" s="82">
        <v>270.61</v>
      </c>
      <c r="I116" s="28">
        <v>276.64</v>
      </c>
      <c r="J116" s="80">
        <v>282.97000000000003</v>
      </c>
      <c r="K116" s="28">
        <v>289.62</v>
      </c>
      <c r="L116" s="80">
        <v>299.91000000000003</v>
      </c>
      <c r="M116" s="81">
        <v>314.89999999999998</v>
      </c>
      <c r="N116" s="82">
        <v>330.65</v>
      </c>
      <c r="O116" s="28">
        <v>347.18</v>
      </c>
      <c r="P116" s="80">
        <v>364.54</v>
      </c>
      <c r="Q116" s="28">
        <v>382.78</v>
      </c>
      <c r="R116" s="80">
        <v>401.91</v>
      </c>
      <c r="S116" s="81">
        <v>422.01</v>
      </c>
      <c r="T116" s="33">
        <v>443.12</v>
      </c>
      <c r="U116" s="34">
        <v>465.27</v>
      </c>
      <c r="V116" s="35">
        <v>488.52</v>
      </c>
      <c r="W116" s="34">
        <v>512.95000000000005</v>
      </c>
      <c r="X116" s="35">
        <v>538.59</v>
      </c>
      <c r="Y116" s="34">
        <v>565.53</v>
      </c>
      <c r="Z116" s="36">
        <v>593.79999999999995</v>
      </c>
    </row>
    <row r="117" spans="1:26" x14ac:dyDescent="0.2">
      <c r="A117" s="96">
        <v>38200</v>
      </c>
      <c r="B117" s="82">
        <v>260</v>
      </c>
      <c r="C117" s="28">
        <v>260</v>
      </c>
      <c r="D117" s="80">
        <v>260</v>
      </c>
      <c r="E117" s="28">
        <v>260</v>
      </c>
      <c r="F117" s="80">
        <v>260</v>
      </c>
      <c r="G117" s="81">
        <v>264.87</v>
      </c>
      <c r="H117" s="82">
        <v>270.61</v>
      </c>
      <c r="I117" s="28">
        <v>276.64</v>
      </c>
      <c r="J117" s="80">
        <v>282.97000000000003</v>
      </c>
      <c r="K117" s="28">
        <v>289.62</v>
      </c>
      <c r="L117" s="80">
        <v>299.91000000000003</v>
      </c>
      <c r="M117" s="81">
        <v>314.89999999999998</v>
      </c>
      <c r="N117" s="82">
        <v>330.65</v>
      </c>
      <c r="O117" s="28">
        <v>347.18</v>
      </c>
      <c r="P117" s="80">
        <v>364.54</v>
      </c>
      <c r="Q117" s="28">
        <v>382.78</v>
      </c>
      <c r="R117" s="80">
        <v>401.91</v>
      </c>
      <c r="S117" s="81">
        <v>422.01</v>
      </c>
      <c r="T117" s="33">
        <v>443.12</v>
      </c>
      <c r="U117" s="34">
        <v>465.27</v>
      </c>
      <c r="V117" s="35">
        <v>488.52</v>
      </c>
      <c r="W117" s="34">
        <v>512.95000000000005</v>
      </c>
      <c r="X117" s="35">
        <v>538.59</v>
      </c>
      <c r="Y117" s="34">
        <v>565.53</v>
      </c>
      <c r="Z117" s="36">
        <v>593.79999999999995</v>
      </c>
    </row>
    <row r="118" spans="1:26" x14ac:dyDescent="0.2">
      <c r="A118" s="96">
        <v>38231</v>
      </c>
      <c r="B118" s="82">
        <v>260</v>
      </c>
      <c r="C118" s="28">
        <v>260</v>
      </c>
      <c r="D118" s="80">
        <v>260</v>
      </c>
      <c r="E118" s="28">
        <v>260</v>
      </c>
      <c r="F118" s="80">
        <v>260</v>
      </c>
      <c r="G118" s="81">
        <v>264.87</v>
      </c>
      <c r="H118" s="82">
        <v>270.61</v>
      </c>
      <c r="I118" s="28">
        <v>276.64</v>
      </c>
      <c r="J118" s="80">
        <v>282.97000000000003</v>
      </c>
      <c r="K118" s="28">
        <v>289.62</v>
      </c>
      <c r="L118" s="80">
        <v>299.91000000000003</v>
      </c>
      <c r="M118" s="81">
        <v>314.89999999999998</v>
      </c>
      <c r="N118" s="82">
        <v>330.65</v>
      </c>
      <c r="O118" s="28">
        <v>347.18</v>
      </c>
      <c r="P118" s="80">
        <v>364.54</v>
      </c>
      <c r="Q118" s="28">
        <v>382.78</v>
      </c>
      <c r="R118" s="80">
        <v>401.91</v>
      </c>
      <c r="S118" s="81">
        <v>422.01</v>
      </c>
      <c r="T118" s="33">
        <v>443.12</v>
      </c>
      <c r="U118" s="34">
        <v>465.27</v>
      </c>
      <c r="V118" s="35">
        <v>488.52</v>
      </c>
      <c r="W118" s="34">
        <v>512.95000000000005</v>
      </c>
      <c r="X118" s="35">
        <v>538.59</v>
      </c>
      <c r="Y118" s="34">
        <v>565.53</v>
      </c>
      <c r="Z118" s="36">
        <v>593.79999999999995</v>
      </c>
    </row>
    <row r="119" spans="1:26" x14ac:dyDescent="0.2">
      <c r="A119" s="96">
        <v>38261</v>
      </c>
      <c r="B119" s="82">
        <v>260</v>
      </c>
      <c r="C119" s="28">
        <v>260</v>
      </c>
      <c r="D119" s="80">
        <v>260</v>
      </c>
      <c r="E119" s="28">
        <v>260</v>
      </c>
      <c r="F119" s="80">
        <v>260</v>
      </c>
      <c r="G119" s="81">
        <v>264.87</v>
      </c>
      <c r="H119" s="82">
        <v>270.61</v>
      </c>
      <c r="I119" s="28">
        <v>276.64</v>
      </c>
      <c r="J119" s="80">
        <v>282.97000000000003</v>
      </c>
      <c r="K119" s="28">
        <v>289.62</v>
      </c>
      <c r="L119" s="80">
        <v>299.91000000000003</v>
      </c>
      <c r="M119" s="81">
        <v>314.89999999999998</v>
      </c>
      <c r="N119" s="82">
        <v>330.65</v>
      </c>
      <c r="O119" s="28">
        <v>347.18</v>
      </c>
      <c r="P119" s="80">
        <v>364.54</v>
      </c>
      <c r="Q119" s="28">
        <v>382.78</v>
      </c>
      <c r="R119" s="80">
        <v>401.91</v>
      </c>
      <c r="S119" s="81">
        <v>422.01</v>
      </c>
      <c r="T119" s="33">
        <v>443.12</v>
      </c>
      <c r="U119" s="34">
        <v>465.27</v>
      </c>
      <c r="V119" s="35">
        <v>488.52</v>
      </c>
      <c r="W119" s="34">
        <v>512.95000000000005</v>
      </c>
      <c r="X119" s="35">
        <v>538.59</v>
      </c>
      <c r="Y119" s="34">
        <v>565.53</v>
      </c>
      <c r="Z119" s="36">
        <v>593.79999999999995</v>
      </c>
    </row>
    <row r="120" spans="1:26" x14ac:dyDescent="0.2">
      <c r="A120" s="96">
        <v>38292</v>
      </c>
      <c r="B120" s="82">
        <v>260</v>
      </c>
      <c r="C120" s="28">
        <v>260</v>
      </c>
      <c r="D120" s="80">
        <v>260</v>
      </c>
      <c r="E120" s="28">
        <v>260</v>
      </c>
      <c r="F120" s="80">
        <v>260</v>
      </c>
      <c r="G120" s="81">
        <v>264.87</v>
      </c>
      <c r="H120" s="82">
        <v>270.61</v>
      </c>
      <c r="I120" s="28">
        <v>276.64</v>
      </c>
      <c r="J120" s="80">
        <v>282.97000000000003</v>
      </c>
      <c r="K120" s="28">
        <v>289.62</v>
      </c>
      <c r="L120" s="80">
        <v>299.91000000000003</v>
      </c>
      <c r="M120" s="81">
        <v>314.89999999999998</v>
      </c>
      <c r="N120" s="82">
        <v>330.65</v>
      </c>
      <c r="O120" s="28">
        <v>347.18</v>
      </c>
      <c r="P120" s="80">
        <v>364.54</v>
      </c>
      <c r="Q120" s="28">
        <v>382.78</v>
      </c>
      <c r="R120" s="80">
        <v>401.91</v>
      </c>
      <c r="S120" s="81">
        <v>422.01</v>
      </c>
      <c r="T120" s="33">
        <v>443.12</v>
      </c>
      <c r="U120" s="34">
        <v>465.27</v>
      </c>
      <c r="V120" s="35">
        <v>488.52</v>
      </c>
      <c r="W120" s="34">
        <v>512.95000000000005</v>
      </c>
      <c r="X120" s="35">
        <v>538.59</v>
      </c>
      <c r="Y120" s="34">
        <v>565.53</v>
      </c>
      <c r="Z120" s="36">
        <v>593.79999999999995</v>
      </c>
    </row>
    <row r="121" spans="1:26" ht="13.5" thickBot="1" x14ac:dyDescent="0.25">
      <c r="A121" s="96">
        <v>38322</v>
      </c>
      <c r="B121" s="90">
        <v>260</v>
      </c>
      <c r="C121" s="87">
        <v>260</v>
      </c>
      <c r="D121" s="88">
        <v>260</v>
      </c>
      <c r="E121" s="87">
        <v>260</v>
      </c>
      <c r="F121" s="88">
        <v>260</v>
      </c>
      <c r="G121" s="89">
        <v>264.87</v>
      </c>
      <c r="H121" s="90">
        <v>270.61</v>
      </c>
      <c r="I121" s="87">
        <v>276.64</v>
      </c>
      <c r="J121" s="88">
        <v>282.97000000000003</v>
      </c>
      <c r="K121" s="87">
        <v>289.62</v>
      </c>
      <c r="L121" s="88">
        <v>299.91000000000003</v>
      </c>
      <c r="M121" s="89">
        <v>314.89999999999998</v>
      </c>
      <c r="N121" s="90">
        <v>330.65</v>
      </c>
      <c r="O121" s="87">
        <v>347.18</v>
      </c>
      <c r="P121" s="88">
        <v>364.54</v>
      </c>
      <c r="Q121" s="87">
        <v>382.78</v>
      </c>
      <c r="R121" s="88">
        <v>401.91</v>
      </c>
      <c r="S121" s="89">
        <v>422.01</v>
      </c>
      <c r="T121" s="45">
        <v>443.12</v>
      </c>
      <c r="U121" s="43">
        <v>465.27</v>
      </c>
      <c r="V121" s="42">
        <v>488.52</v>
      </c>
      <c r="W121" s="43">
        <v>512.95000000000005</v>
      </c>
      <c r="X121" s="42">
        <v>538.59</v>
      </c>
      <c r="Y121" s="43">
        <v>565.53</v>
      </c>
      <c r="Z121" s="44">
        <v>593.79999999999995</v>
      </c>
    </row>
    <row r="122" spans="1:26" x14ac:dyDescent="0.2">
      <c r="A122" s="96">
        <v>38353</v>
      </c>
      <c r="B122" s="100">
        <v>260</v>
      </c>
      <c r="C122" s="101">
        <v>260</v>
      </c>
      <c r="D122" s="102">
        <v>260</v>
      </c>
      <c r="E122" s="101">
        <v>260</v>
      </c>
      <c r="F122" s="102">
        <v>260</v>
      </c>
      <c r="G122" s="103">
        <v>264.87</v>
      </c>
      <c r="H122" s="100">
        <v>270.61</v>
      </c>
      <c r="I122" s="101">
        <v>276.64</v>
      </c>
      <c r="J122" s="102">
        <v>282.97000000000003</v>
      </c>
      <c r="K122" s="101">
        <v>289.62</v>
      </c>
      <c r="L122" s="102">
        <v>299.91000000000003</v>
      </c>
      <c r="M122" s="103">
        <v>314.89999999999998</v>
      </c>
      <c r="N122" s="100">
        <v>330.65</v>
      </c>
      <c r="O122" s="101">
        <v>347.18</v>
      </c>
      <c r="P122" s="102">
        <v>364.54</v>
      </c>
      <c r="Q122" s="101">
        <v>382.78</v>
      </c>
      <c r="R122" s="102">
        <v>401.91</v>
      </c>
      <c r="S122" s="103">
        <v>422.01</v>
      </c>
      <c r="T122" s="104">
        <v>443.12</v>
      </c>
      <c r="U122" s="105">
        <v>465.27</v>
      </c>
      <c r="V122" s="106">
        <v>488.52</v>
      </c>
      <c r="W122" s="105">
        <v>512.95000000000005</v>
      </c>
      <c r="X122" s="106">
        <v>538.59</v>
      </c>
      <c r="Y122" s="105">
        <v>565.53</v>
      </c>
      <c r="Z122" s="107">
        <v>593.79999999999995</v>
      </c>
    </row>
    <row r="123" spans="1:26" x14ac:dyDescent="0.2">
      <c r="A123" s="96">
        <v>38384</v>
      </c>
      <c r="B123" s="82">
        <v>260</v>
      </c>
      <c r="C123" s="28">
        <v>260</v>
      </c>
      <c r="D123" s="80">
        <v>260</v>
      </c>
      <c r="E123" s="28">
        <v>260</v>
      </c>
      <c r="F123" s="80">
        <v>260</v>
      </c>
      <c r="G123" s="81">
        <v>264.87</v>
      </c>
      <c r="H123" s="82">
        <v>270.61</v>
      </c>
      <c r="I123" s="28">
        <v>276.64</v>
      </c>
      <c r="J123" s="80">
        <v>282.97000000000003</v>
      </c>
      <c r="K123" s="28">
        <v>289.62</v>
      </c>
      <c r="L123" s="80">
        <v>299.91000000000003</v>
      </c>
      <c r="M123" s="81">
        <v>314.89999999999998</v>
      </c>
      <c r="N123" s="82">
        <v>330.65</v>
      </c>
      <c r="O123" s="28">
        <v>347.18</v>
      </c>
      <c r="P123" s="80">
        <v>364.54</v>
      </c>
      <c r="Q123" s="28">
        <v>382.78</v>
      </c>
      <c r="R123" s="80">
        <v>401.91</v>
      </c>
      <c r="S123" s="81">
        <v>422.01</v>
      </c>
      <c r="T123" s="33">
        <v>443.12</v>
      </c>
      <c r="U123" s="34">
        <v>465.27</v>
      </c>
      <c r="V123" s="35">
        <v>488.52</v>
      </c>
      <c r="W123" s="34">
        <v>512.95000000000005</v>
      </c>
      <c r="X123" s="35">
        <v>538.59</v>
      </c>
      <c r="Y123" s="34">
        <v>565.53</v>
      </c>
      <c r="Z123" s="36">
        <v>593.79999999999995</v>
      </c>
    </row>
    <row r="124" spans="1:26" x14ac:dyDescent="0.2">
      <c r="A124" s="96">
        <v>38412</v>
      </c>
      <c r="B124" s="82">
        <v>260</v>
      </c>
      <c r="C124" s="28">
        <v>260</v>
      </c>
      <c r="D124" s="80">
        <v>261.33</v>
      </c>
      <c r="E124" s="28">
        <v>265.17</v>
      </c>
      <c r="F124" s="80">
        <v>269.2</v>
      </c>
      <c r="G124" s="81">
        <v>276.89</v>
      </c>
      <c r="H124" s="82">
        <v>285.39999999999998</v>
      </c>
      <c r="I124" s="28">
        <v>294.35000000000002</v>
      </c>
      <c r="J124" s="80">
        <v>303.74</v>
      </c>
      <c r="K124" s="28">
        <v>313.60000000000002</v>
      </c>
      <c r="L124" s="80">
        <v>326.31</v>
      </c>
      <c r="M124" s="81">
        <v>342.62</v>
      </c>
      <c r="N124" s="82">
        <v>359.75</v>
      </c>
      <c r="O124" s="28">
        <v>377.74</v>
      </c>
      <c r="P124" s="80">
        <v>396.63</v>
      </c>
      <c r="Q124" s="28">
        <v>416.47</v>
      </c>
      <c r="R124" s="80">
        <v>437.28</v>
      </c>
      <c r="S124" s="81">
        <v>459.15</v>
      </c>
      <c r="T124" s="33">
        <v>482.12</v>
      </c>
      <c r="U124" s="34">
        <v>506.22</v>
      </c>
      <c r="V124" s="35">
        <v>531.52</v>
      </c>
      <c r="W124" s="34">
        <v>558.1</v>
      </c>
      <c r="X124" s="35">
        <v>586</v>
      </c>
      <c r="Y124" s="34">
        <v>615.30999999999995</v>
      </c>
      <c r="Z124" s="36">
        <v>646.05999999999995</v>
      </c>
    </row>
    <row r="125" spans="1:26" x14ac:dyDescent="0.2">
      <c r="A125" s="96">
        <v>38443</v>
      </c>
      <c r="B125" s="82">
        <v>260</v>
      </c>
      <c r="C125" s="28">
        <v>260</v>
      </c>
      <c r="D125" s="80">
        <v>261.33</v>
      </c>
      <c r="E125" s="28">
        <v>265.17</v>
      </c>
      <c r="F125" s="80">
        <v>269.2</v>
      </c>
      <c r="G125" s="81">
        <v>276.89</v>
      </c>
      <c r="H125" s="82">
        <v>285.39999999999998</v>
      </c>
      <c r="I125" s="28">
        <v>294.35000000000002</v>
      </c>
      <c r="J125" s="80">
        <v>303.74</v>
      </c>
      <c r="K125" s="28">
        <v>313.60000000000002</v>
      </c>
      <c r="L125" s="80">
        <v>326.31</v>
      </c>
      <c r="M125" s="81">
        <v>342.62</v>
      </c>
      <c r="N125" s="82">
        <v>359.75</v>
      </c>
      <c r="O125" s="28">
        <v>377.74</v>
      </c>
      <c r="P125" s="80">
        <v>396.63</v>
      </c>
      <c r="Q125" s="28">
        <v>416.47</v>
      </c>
      <c r="R125" s="80">
        <v>437.28</v>
      </c>
      <c r="S125" s="81">
        <v>459.15</v>
      </c>
      <c r="T125" s="33">
        <v>482.12</v>
      </c>
      <c r="U125" s="34">
        <v>506.22</v>
      </c>
      <c r="V125" s="35">
        <v>531.52</v>
      </c>
      <c r="W125" s="34">
        <v>558.1</v>
      </c>
      <c r="X125" s="35">
        <v>586</v>
      </c>
      <c r="Y125" s="34">
        <v>615.30999999999995</v>
      </c>
      <c r="Z125" s="36">
        <v>646.05999999999995</v>
      </c>
    </row>
    <row r="126" spans="1:26" x14ac:dyDescent="0.2">
      <c r="A126" s="96">
        <v>38473</v>
      </c>
      <c r="B126" s="82">
        <v>280</v>
      </c>
      <c r="C126" s="28">
        <v>280</v>
      </c>
      <c r="D126" s="80">
        <v>280</v>
      </c>
      <c r="E126" s="28">
        <v>280</v>
      </c>
      <c r="F126" s="80">
        <v>280</v>
      </c>
      <c r="G126" s="81">
        <v>280</v>
      </c>
      <c r="H126" s="82">
        <v>285.39999999999998</v>
      </c>
      <c r="I126" s="28">
        <v>294.35000000000002</v>
      </c>
      <c r="J126" s="80">
        <v>303.74</v>
      </c>
      <c r="K126" s="28">
        <v>313.60000000000002</v>
      </c>
      <c r="L126" s="80">
        <v>326.31</v>
      </c>
      <c r="M126" s="81">
        <v>342.62</v>
      </c>
      <c r="N126" s="82">
        <v>359.75</v>
      </c>
      <c r="O126" s="28">
        <v>377.74</v>
      </c>
      <c r="P126" s="80">
        <v>396.63</v>
      </c>
      <c r="Q126" s="28">
        <v>416.47</v>
      </c>
      <c r="R126" s="80">
        <v>437.28</v>
      </c>
      <c r="S126" s="81">
        <v>459.15</v>
      </c>
      <c r="T126" s="33">
        <v>482.12</v>
      </c>
      <c r="U126" s="34">
        <v>506.22</v>
      </c>
      <c r="V126" s="35">
        <v>531.52</v>
      </c>
      <c r="W126" s="34">
        <v>558.1</v>
      </c>
      <c r="X126" s="35">
        <v>586</v>
      </c>
      <c r="Y126" s="34">
        <v>615.30999999999995</v>
      </c>
      <c r="Z126" s="36">
        <v>646.05999999999995</v>
      </c>
    </row>
    <row r="127" spans="1:26" x14ac:dyDescent="0.2">
      <c r="A127" s="96">
        <v>38504</v>
      </c>
      <c r="B127" s="82">
        <v>280</v>
      </c>
      <c r="C127" s="28">
        <v>280</v>
      </c>
      <c r="D127" s="80">
        <v>280</v>
      </c>
      <c r="E127" s="28">
        <v>280</v>
      </c>
      <c r="F127" s="80">
        <v>280</v>
      </c>
      <c r="G127" s="81">
        <v>280</v>
      </c>
      <c r="H127" s="82">
        <v>285.39999999999998</v>
      </c>
      <c r="I127" s="28">
        <v>294.35000000000002</v>
      </c>
      <c r="J127" s="80">
        <v>303.74</v>
      </c>
      <c r="K127" s="28">
        <v>313.60000000000002</v>
      </c>
      <c r="L127" s="80">
        <v>326.31</v>
      </c>
      <c r="M127" s="81">
        <v>342.62</v>
      </c>
      <c r="N127" s="82">
        <v>359.75</v>
      </c>
      <c r="O127" s="28">
        <v>377.74</v>
      </c>
      <c r="P127" s="80">
        <v>396.63</v>
      </c>
      <c r="Q127" s="28">
        <v>416.47</v>
      </c>
      <c r="R127" s="80">
        <v>437.28</v>
      </c>
      <c r="S127" s="81">
        <v>459.15</v>
      </c>
      <c r="T127" s="33">
        <v>482.12</v>
      </c>
      <c r="U127" s="34">
        <v>506.22</v>
      </c>
      <c r="V127" s="35">
        <v>531.52</v>
      </c>
      <c r="W127" s="34">
        <v>558.1</v>
      </c>
      <c r="X127" s="35">
        <v>586</v>
      </c>
      <c r="Y127" s="34">
        <v>615.30999999999995</v>
      </c>
      <c r="Z127" s="36">
        <v>646.05999999999995</v>
      </c>
    </row>
    <row r="128" spans="1:26" x14ac:dyDescent="0.2">
      <c r="A128" s="96">
        <v>38534</v>
      </c>
      <c r="B128" s="82">
        <v>280</v>
      </c>
      <c r="C128" s="28">
        <v>280</v>
      </c>
      <c r="D128" s="80">
        <v>280</v>
      </c>
      <c r="E128" s="28">
        <v>280</v>
      </c>
      <c r="F128" s="80">
        <v>280</v>
      </c>
      <c r="G128" s="81">
        <v>280</v>
      </c>
      <c r="H128" s="82">
        <v>285.39999999999998</v>
      </c>
      <c r="I128" s="28">
        <v>294.35000000000002</v>
      </c>
      <c r="J128" s="80">
        <v>303.74</v>
      </c>
      <c r="K128" s="28">
        <v>313.60000000000002</v>
      </c>
      <c r="L128" s="80">
        <v>326.31</v>
      </c>
      <c r="M128" s="81">
        <v>342.62</v>
      </c>
      <c r="N128" s="82">
        <v>359.75</v>
      </c>
      <c r="O128" s="28">
        <v>377.74</v>
      </c>
      <c r="P128" s="80">
        <v>396.63</v>
      </c>
      <c r="Q128" s="28">
        <v>416.47</v>
      </c>
      <c r="R128" s="80">
        <v>437.28</v>
      </c>
      <c r="S128" s="81">
        <v>459.15</v>
      </c>
      <c r="T128" s="33">
        <v>482.12</v>
      </c>
      <c r="U128" s="34">
        <v>506.22</v>
      </c>
      <c r="V128" s="35">
        <v>531.52</v>
      </c>
      <c r="W128" s="34">
        <v>558.1</v>
      </c>
      <c r="X128" s="35">
        <v>586</v>
      </c>
      <c r="Y128" s="34">
        <v>615.30999999999995</v>
      </c>
      <c r="Z128" s="36">
        <v>646.05999999999995</v>
      </c>
    </row>
    <row r="129" spans="1:26" x14ac:dyDescent="0.2">
      <c r="A129" s="96">
        <v>38565</v>
      </c>
      <c r="B129" s="82">
        <v>280</v>
      </c>
      <c r="C129" s="28">
        <v>280</v>
      </c>
      <c r="D129" s="80">
        <v>280</v>
      </c>
      <c r="E129" s="28">
        <v>280</v>
      </c>
      <c r="F129" s="80">
        <v>280</v>
      </c>
      <c r="G129" s="81">
        <v>280</v>
      </c>
      <c r="H129" s="82">
        <v>285.39999999999998</v>
      </c>
      <c r="I129" s="28">
        <v>294.35000000000002</v>
      </c>
      <c r="J129" s="80">
        <v>303.74</v>
      </c>
      <c r="K129" s="28">
        <v>313.60000000000002</v>
      </c>
      <c r="L129" s="80">
        <v>326.31</v>
      </c>
      <c r="M129" s="81">
        <v>342.62</v>
      </c>
      <c r="N129" s="82">
        <v>359.75</v>
      </c>
      <c r="O129" s="28">
        <v>377.74</v>
      </c>
      <c r="P129" s="80">
        <v>396.63</v>
      </c>
      <c r="Q129" s="28">
        <v>416.47</v>
      </c>
      <c r="R129" s="80">
        <v>437.28</v>
      </c>
      <c r="S129" s="81">
        <v>459.15</v>
      </c>
      <c r="T129" s="33">
        <v>482.12</v>
      </c>
      <c r="U129" s="34">
        <v>506.22</v>
      </c>
      <c r="V129" s="35">
        <v>531.52</v>
      </c>
      <c r="W129" s="34">
        <v>558.1</v>
      </c>
      <c r="X129" s="35">
        <v>586</v>
      </c>
      <c r="Y129" s="34">
        <v>615.30999999999995</v>
      </c>
      <c r="Z129" s="36">
        <v>646.05999999999995</v>
      </c>
    </row>
    <row r="130" spans="1:26" x14ac:dyDescent="0.2">
      <c r="A130" s="96">
        <v>38596</v>
      </c>
      <c r="B130" s="82">
        <v>280</v>
      </c>
      <c r="C130" s="28">
        <v>280</v>
      </c>
      <c r="D130" s="80">
        <v>280</v>
      </c>
      <c r="E130" s="28">
        <v>280</v>
      </c>
      <c r="F130" s="80">
        <v>280</v>
      </c>
      <c r="G130" s="81">
        <v>280</v>
      </c>
      <c r="H130" s="82">
        <v>285.39999999999998</v>
      </c>
      <c r="I130" s="28">
        <v>294.35000000000002</v>
      </c>
      <c r="J130" s="80">
        <v>303.74</v>
      </c>
      <c r="K130" s="28">
        <v>313.60000000000002</v>
      </c>
      <c r="L130" s="80">
        <v>326.31</v>
      </c>
      <c r="M130" s="81">
        <v>342.62</v>
      </c>
      <c r="N130" s="82">
        <v>359.75</v>
      </c>
      <c r="O130" s="28">
        <v>377.74</v>
      </c>
      <c r="P130" s="80">
        <v>396.63</v>
      </c>
      <c r="Q130" s="28">
        <v>416.47</v>
      </c>
      <c r="R130" s="80">
        <v>437.28</v>
      </c>
      <c r="S130" s="81">
        <v>459.15</v>
      </c>
      <c r="T130" s="33">
        <v>482.12</v>
      </c>
      <c r="U130" s="34">
        <v>506.22</v>
      </c>
      <c r="V130" s="35">
        <v>531.52</v>
      </c>
      <c r="W130" s="34">
        <v>558.1</v>
      </c>
      <c r="X130" s="35">
        <v>586</v>
      </c>
      <c r="Y130" s="34">
        <v>615.30999999999995</v>
      </c>
      <c r="Z130" s="36">
        <v>646.05999999999995</v>
      </c>
    </row>
    <row r="131" spans="1:26" x14ac:dyDescent="0.2">
      <c r="A131" s="96">
        <v>38626</v>
      </c>
      <c r="B131" s="82">
        <v>280</v>
      </c>
      <c r="C131" s="28">
        <v>280</v>
      </c>
      <c r="D131" s="80">
        <v>280</v>
      </c>
      <c r="E131" s="28">
        <v>280</v>
      </c>
      <c r="F131" s="80">
        <v>280</v>
      </c>
      <c r="G131" s="81">
        <v>280</v>
      </c>
      <c r="H131" s="82">
        <v>285.39999999999998</v>
      </c>
      <c r="I131" s="28">
        <v>294.35000000000002</v>
      </c>
      <c r="J131" s="80">
        <v>303.74</v>
      </c>
      <c r="K131" s="28">
        <v>313.60000000000002</v>
      </c>
      <c r="L131" s="80">
        <v>326.31</v>
      </c>
      <c r="M131" s="81">
        <v>342.62</v>
      </c>
      <c r="N131" s="82">
        <v>359.75</v>
      </c>
      <c r="O131" s="28">
        <v>377.74</v>
      </c>
      <c r="P131" s="80">
        <v>396.63</v>
      </c>
      <c r="Q131" s="28">
        <v>416.47</v>
      </c>
      <c r="R131" s="80">
        <v>437.28</v>
      </c>
      <c r="S131" s="81">
        <v>459.15</v>
      </c>
      <c r="T131" s="33">
        <v>482.12</v>
      </c>
      <c r="U131" s="34">
        <v>506.22</v>
      </c>
      <c r="V131" s="35">
        <v>531.52</v>
      </c>
      <c r="W131" s="34">
        <v>558.1</v>
      </c>
      <c r="X131" s="35">
        <v>586</v>
      </c>
      <c r="Y131" s="34">
        <v>615.30999999999995</v>
      </c>
      <c r="Z131" s="36">
        <v>646.05999999999995</v>
      </c>
    </row>
    <row r="132" spans="1:26" x14ac:dyDescent="0.2">
      <c r="A132" s="96">
        <v>38657</v>
      </c>
      <c r="B132" s="82">
        <v>280</v>
      </c>
      <c r="C132" s="28">
        <v>280</v>
      </c>
      <c r="D132" s="80">
        <v>280</v>
      </c>
      <c r="E132" s="28">
        <v>280</v>
      </c>
      <c r="F132" s="80">
        <v>280</v>
      </c>
      <c r="G132" s="81">
        <v>280</v>
      </c>
      <c r="H132" s="82">
        <v>285.39999999999998</v>
      </c>
      <c r="I132" s="28">
        <v>294.35000000000002</v>
      </c>
      <c r="J132" s="80">
        <v>303.74</v>
      </c>
      <c r="K132" s="28">
        <v>313.60000000000002</v>
      </c>
      <c r="L132" s="80">
        <v>326.31</v>
      </c>
      <c r="M132" s="81">
        <v>342.62</v>
      </c>
      <c r="N132" s="82">
        <v>359.75</v>
      </c>
      <c r="O132" s="28">
        <v>377.74</v>
      </c>
      <c r="P132" s="80">
        <v>396.63</v>
      </c>
      <c r="Q132" s="28">
        <v>416.47</v>
      </c>
      <c r="R132" s="80">
        <v>437.28</v>
      </c>
      <c r="S132" s="81">
        <v>459.15</v>
      </c>
      <c r="T132" s="33">
        <v>482.12</v>
      </c>
      <c r="U132" s="34">
        <v>506.22</v>
      </c>
      <c r="V132" s="35">
        <v>531.52</v>
      </c>
      <c r="W132" s="34">
        <v>558.1</v>
      </c>
      <c r="X132" s="35">
        <v>586</v>
      </c>
      <c r="Y132" s="34">
        <v>615.30999999999995</v>
      </c>
      <c r="Z132" s="36">
        <v>646.05999999999995</v>
      </c>
    </row>
    <row r="133" spans="1:26" ht="13.5" thickBot="1" x14ac:dyDescent="0.25">
      <c r="A133" s="96">
        <v>38687</v>
      </c>
      <c r="B133" s="90">
        <v>280</v>
      </c>
      <c r="C133" s="87">
        <v>280</v>
      </c>
      <c r="D133" s="88">
        <v>280</v>
      </c>
      <c r="E133" s="87">
        <v>280</v>
      </c>
      <c r="F133" s="88">
        <v>280</v>
      </c>
      <c r="G133" s="89">
        <v>280</v>
      </c>
      <c r="H133" s="90">
        <v>285.39999999999998</v>
      </c>
      <c r="I133" s="87">
        <v>294.35000000000002</v>
      </c>
      <c r="J133" s="88">
        <v>303.74</v>
      </c>
      <c r="K133" s="87">
        <v>313.60000000000002</v>
      </c>
      <c r="L133" s="88">
        <v>326.31</v>
      </c>
      <c r="M133" s="89">
        <v>342.62</v>
      </c>
      <c r="N133" s="90">
        <v>359.75</v>
      </c>
      <c r="O133" s="87">
        <v>377.74</v>
      </c>
      <c r="P133" s="88">
        <v>396.63</v>
      </c>
      <c r="Q133" s="87">
        <v>416.47</v>
      </c>
      <c r="R133" s="88">
        <v>437.28</v>
      </c>
      <c r="S133" s="89">
        <v>459.15</v>
      </c>
      <c r="T133" s="45">
        <v>482.12</v>
      </c>
      <c r="U133" s="43">
        <v>506.22</v>
      </c>
      <c r="V133" s="42">
        <v>531.52</v>
      </c>
      <c r="W133" s="43">
        <v>558.1</v>
      </c>
      <c r="X133" s="42">
        <v>586</v>
      </c>
      <c r="Y133" s="43">
        <v>615.30999999999995</v>
      </c>
      <c r="Z133" s="44">
        <v>646.05999999999995</v>
      </c>
    </row>
    <row r="134" spans="1:26" x14ac:dyDescent="0.2">
      <c r="A134" s="96">
        <v>38718</v>
      </c>
      <c r="B134" s="100">
        <v>280</v>
      </c>
      <c r="C134" s="101">
        <v>280</v>
      </c>
      <c r="D134" s="102">
        <v>280</v>
      </c>
      <c r="E134" s="101">
        <v>280</v>
      </c>
      <c r="F134" s="102">
        <v>280</v>
      </c>
      <c r="G134" s="103">
        <v>280</v>
      </c>
      <c r="H134" s="100">
        <v>285.39999999999998</v>
      </c>
      <c r="I134" s="101">
        <v>294.35000000000002</v>
      </c>
      <c r="J134" s="102">
        <v>303.74</v>
      </c>
      <c r="K134" s="101">
        <v>313.60000000000002</v>
      </c>
      <c r="L134" s="102">
        <v>326.31</v>
      </c>
      <c r="M134" s="103">
        <v>342.62</v>
      </c>
      <c r="N134" s="100">
        <v>359.75</v>
      </c>
      <c r="O134" s="101">
        <v>377.74</v>
      </c>
      <c r="P134" s="102">
        <v>396.63</v>
      </c>
      <c r="Q134" s="101">
        <v>416.47</v>
      </c>
      <c r="R134" s="102">
        <v>437.28</v>
      </c>
      <c r="S134" s="103">
        <v>459.15</v>
      </c>
      <c r="T134" s="104">
        <v>482.12</v>
      </c>
      <c r="U134" s="105">
        <v>506.22</v>
      </c>
      <c r="V134" s="106">
        <v>531.52</v>
      </c>
      <c r="W134" s="105">
        <v>558.1</v>
      </c>
      <c r="X134" s="106">
        <v>586</v>
      </c>
      <c r="Y134" s="105">
        <v>615.30999999999995</v>
      </c>
      <c r="Z134" s="107">
        <v>646.05999999999995</v>
      </c>
    </row>
    <row r="135" spans="1:26" x14ac:dyDescent="0.2">
      <c r="A135" s="96">
        <v>38749</v>
      </c>
      <c r="B135" s="82">
        <v>280</v>
      </c>
      <c r="C135" s="28">
        <v>280</v>
      </c>
      <c r="D135" s="80">
        <v>280</v>
      </c>
      <c r="E135" s="28">
        <v>280</v>
      </c>
      <c r="F135" s="80">
        <v>280</v>
      </c>
      <c r="G135" s="81">
        <v>280</v>
      </c>
      <c r="H135" s="82">
        <v>285.39999999999998</v>
      </c>
      <c r="I135" s="28">
        <v>294.35000000000002</v>
      </c>
      <c r="J135" s="80">
        <v>303.74</v>
      </c>
      <c r="K135" s="28">
        <v>313.60000000000002</v>
      </c>
      <c r="L135" s="80">
        <v>326.31</v>
      </c>
      <c r="M135" s="81">
        <v>342.62</v>
      </c>
      <c r="N135" s="82">
        <v>359.75</v>
      </c>
      <c r="O135" s="28">
        <v>377.74</v>
      </c>
      <c r="P135" s="80">
        <v>396.63</v>
      </c>
      <c r="Q135" s="28">
        <v>416.47</v>
      </c>
      <c r="R135" s="80">
        <v>437.28</v>
      </c>
      <c r="S135" s="81">
        <v>459.15</v>
      </c>
      <c r="T135" s="33">
        <v>482.12</v>
      </c>
      <c r="U135" s="34">
        <v>506.22</v>
      </c>
      <c r="V135" s="35">
        <v>531.52</v>
      </c>
      <c r="W135" s="34">
        <v>558.1</v>
      </c>
      <c r="X135" s="35">
        <v>586</v>
      </c>
      <c r="Y135" s="34">
        <v>615.30999999999995</v>
      </c>
      <c r="Z135" s="36">
        <v>646.05999999999995</v>
      </c>
    </row>
    <row r="136" spans="1:26" x14ac:dyDescent="0.2">
      <c r="A136" s="96">
        <v>38777</v>
      </c>
      <c r="B136" s="82">
        <v>303.24</v>
      </c>
      <c r="C136" s="28">
        <v>303.24</v>
      </c>
      <c r="D136" s="80">
        <v>303.24</v>
      </c>
      <c r="E136" s="28">
        <v>303.24</v>
      </c>
      <c r="F136" s="80">
        <v>303.24</v>
      </c>
      <c r="G136" s="81">
        <v>303.24</v>
      </c>
      <c r="H136" s="82">
        <v>309.08999999999997</v>
      </c>
      <c r="I136" s="28">
        <v>318.77999999999997</v>
      </c>
      <c r="J136" s="80">
        <v>328.95</v>
      </c>
      <c r="K136" s="37">
        <v>339.62</v>
      </c>
      <c r="L136" s="80">
        <v>353.45</v>
      </c>
      <c r="M136" s="81">
        <v>371.12</v>
      </c>
      <c r="N136" s="82">
        <v>389.68</v>
      </c>
      <c r="O136" s="28">
        <v>409.16</v>
      </c>
      <c r="P136" s="80">
        <v>429.62</v>
      </c>
      <c r="Q136" s="28">
        <v>451.11</v>
      </c>
      <c r="R136" s="80">
        <v>473.66</v>
      </c>
      <c r="S136" s="81">
        <v>497.34</v>
      </c>
      <c r="T136" s="33">
        <v>522.22</v>
      </c>
      <c r="U136" s="34">
        <v>548.32000000000005</v>
      </c>
      <c r="V136" s="35">
        <v>575.73</v>
      </c>
      <c r="W136" s="34">
        <v>604.52</v>
      </c>
      <c r="X136" s="35">
        <v>634.74</v>
      </c>
      <c r="Y136" s="34">
        <v>666.49</v>
      </c>
      <c r="Z136" s="36">
        <v>699.81</v>
      </c>
    </row>
    <row r="137" spans="1:26" x14ac:dyDescent="0.2">
      <c r="A137" s="96">
        <v>38808</v>
      </c>
      <c r="B137" s="82">
        <v>303.24</v>
      </c>
      <c r="C137" s="28">
        <v>303.24</v>
      </c>
      <c r="D137" s="80">
        <v>303.24</v>
      </c>
      <c r="E137" s="28">
        <v>303.24</v>
      </c>
      <c r="F137" s="80">
        <v>303.24</v>
      </c>
      <c r="G137" s="81">
        <v>303.24</v>
      </c>
      <c r="H137" s="82">
        <v>309.08999999999997</v>
      </c>
      <c r="I137" s="28">
        <v>318.77999999999997</v>
      </c>
      <c r="J137" s="80">
        <v>328.95</v>
      </c>
      <c r="K137" s="37">
        <v>339.62</v>
      </c>
      <c r="L137" s="80">
        <v>353.45</v>
      </c>
      <c r="M137" s="81">
        <v>371.12</v>
      </c>
      <c r="N137" s="82">
        <v>389.68</v>
      </c>
      <c r="O137" s="28">
        <v>409.16</v>
      </c>
      <c r="P137" s="80">
        <v>429.62</v>
      </c>
      <c r="Q137" s="28">
        <v>451.11</v>
      </c>
      <c r="R137" s="80">
        <v>473.66</v>
      </c>
      <c r="S137" s="81">
        <v>497.34</v>
      </c>
      <c r="T137" s="33">
        <v>522.22</v>
      </c>
      <c r="U137" s="34">
        <v>548.32000000000005</v>
      </c>
      <c r="V137" s="35">
        <v>575.73</v>
      </c>
      <c r="W137" s="34">
        <v>604.52</v>
      </c>
      <c r="X137" s="35">
        <v>634.74</v>
      </c>
      <c r="Y137" s="34">
        <v>666.49</v>
      </c>
      <c r="Z137" s="36">
        <v>699.81</v>
      </c>
    </row>
    <row r="138" spans="1:26" x14ac:dyDescent="0.2">
      <c r="A138" s="96">
        <v>38838</v>
      </c>
      <c r="B138" s="82">
        <v>303.24</v>
      </c>
      <c r="C138" s="28">
        <v>303.24</v>
      </c>
      <c r="D138" s="80">
        <v>303.24</v>
      </c>
      <c r="E138" s="28">
        <v>303.24</v>
      </c>
      <c r="F138" s="80">
        <v>303.24</v>
      </c>
      <c r="G138" s="81">
        <v>303.24</v>
      </c>
      <c r="H138" s="82">
        <v>309.08999999999997</v>
      </c>
      <c r="I138" s="28">
        <v>318.77999999999997</v>
      </c>
      <c r="J138" s="80">
        <v>328.95</v>
      </c>
      <c r="K138" s="37">
        <v>339.62</v>
      </c>
      <c r="L138" s="80">
        <v>353.45</v>
      </c>
      <c r="M138" s="81">
        <v>371.12</v>
      </c>
      <c r="N138" s="82">
        <v>389.68</v>
      </c>
      <c r="O138" s="28">
        <v>409.16</v>
      </c>
      <c r="P138" s="80">
        <v>429.62</v>
      </c>
      <c r="Q138" s="28">
        <v>451.11</v>
      </c>
      <c r="R138" s="80">
        <v>473.66</v>
      </c>
      <c r="S138" s="81">
        <v>497.34</v>
      </c>
      <c r="T138" s="33">
        <v>522.22</v>
      </c>
      <c r="U138" s="34">
        <v>548.32000000000005</v>
      </c>
      <c r="V138" s="35">
        <v>575.73</v>
      </c>
      <c r="W138" s="34">
        <v>604.52</v>
      </c>
      <c r="X138" s="35">
        <v>634.74</v>
      </c>
      <c r="Y138" s="34">
        <v>666.49</v>
      </c>
      <c r="Z138" s="36">
        <v>699.81</v>
      </c>
    </row>
    <row r="139" spans="1:26" x14ac:dyDescent="0.2">
      <c r="A139" s="96">
        <v>38869</v>
      </c>
      <c r="B139" s="82">
        <v>303.24</v>
      </c>
      <c r="C139" s="28">
        <v>303.24</v>
      </c>
      <c r="D139" s="80">
        <v>303.24</v>
      </c>
      <c r="E139" s="28">
        <v>303.24</v>
      </c>
      <c r="F139" s="80">
        <v>303.24</v>
      </c>
      <c r="G139" s="81">
        <v>303.24</v>
      </c>
      <c r="H139" s="82">
        <v>309.08999999999997</v>
      </c>
      <c r="I139" s="28">
        <v>318.77999999999997</v>
      </c>
      <c r="J139" s="80">
        <v>328.95</v>
      </c>
      <c r="K139" s="37">
        <v>339.62</v>
      </c>
      <c r="L139" s="80">
        <v>353.45</v>
      </c>
      <c r="M139" s="81">
        <v>371.12</v>
      </c>
      <c r="N139" s="82">
        <v>389.68</v>
      </c>
      <c r="O139" s="28">
        <v>409.16</v>
      </c>
      <c r="P139" s="80">
        <v>429.62</v>
      </c>
      <c r="Q139" s="28">
        <v>451.11</v>
      </c>
      <c r="R139" s="80">
        <v>473.66</v>
      </c>
      <c r="S139" s="81">
        <v>497.34</v>
      </c>
      <c r="T139" s="33">
        <v>522.22</v>
      </c>
      <c r="U139" s="34">
        <v>548.32000000000005</v>
      </c>
      <c r="V139" s="35">
        <v>575.73</v>
      </c>
      <c r="W139" s="34">
        <v>604.52</v>
      </c>
      <c r="X139" s="35">
        <v>634.74</v>
      </c>
      <c r="Y139" s="34">
        <v>666.49</v>
      </c>
      <c r="Z139" s="36">
        <v>699.81</v>
      </c>
    </row>
    <row r="140" spans="1:26" x14ac:dyDescent="0.2">
      <c r="A140" s="96">
        <v>38899</v>
      </c>
      <c r="B140" s="82">
        <v>303.24</v>
      </c>
      <c r="C140" s="28">
        <v>303.24</v>
      </c>
      <c r="D140" s="80">
        <v>303.24</v>
      </c>
      <c r="E140" s="28">
        <v>303.24</v>
      </c>
      <c r="F140" s="80">
        <v>303.24</v>
      </c>
      <c r="G140" s="81">
        <v>303.24</v>
      </c>
      <c r="H140" s="82">
        <v>309.08999999999997</v>
      </c>
      <c r="I140" s="28">
        <v>318.77999999999997</v>
      </c>
      <c r="J140" s="80">
        <v>328.95</v>
      </c>
      <c r="K140" s="37">
        <v>339.62</v>
      </c>
      <c r="L140" s="80">
        <v>353.45</v>
      </c>
      <c r="M140" s="81">
        <v>371.12</v>
      </c>
      <c r="N140" s="82">
        <v>389.68</v>
      </c>
      <c r="O140" s="28">
        <v>409.16</v>
      </c>
      <c r="P140" s="80">
        <v>429.62</v>
      </c>
      <c r="Q140" s="28">
        <v>451.11</v>
      </c>
      <c r="R140" s="80">
        <v>473.66</v>
      </c>
      <c r="S140" s="81">
        <v>497.34</v>
      </c>
      <c r="T140" s="33">
        <v>522.22</v>
      </c>
      <c r="U140" s="34">
        <v>548.32000000000005</v>
      </c>
      <c r="V140" s="35">
        <v>575.73</v>
      </c>
      <c r="W140" s="34">
        <v>604.52</v>
      </c>
      <c r="X140" s="35">
        <v>634.74</v>
      </c>
      <c r="Y140" s="34">
        <v>666.49</v>
      </c>
      <c r="Z140" s="36">
        <v>699.81</v>
      </c>
    </row>
    <row r="141" spans="1:26" x14ac:dyDescent="0.2">
      <c r="A141" s="96">
        <v>38930</v>
      </c>
      <c r="B141" s="82">
        <v>303.24</v>
      </c>
      <c r="C141" s="28">
        <v>303.24</v>
      </c>
      <c r="D141" s="80">
        <v>303.24</v>
      </c>
      <c r="E141" s="28">
        <v>303.24</v>
      </c>
      <c r="F141" s="80">
        <v>303.24</v>
      </c>
      <c r="G141" s="81">
        <v>303.24</v>
      </c>
      <c r="H141" s="82">
        <v>309.08999999999997</v>
      </c>
      <c r="I141" s="28">
        <v>318.77999999999997</v>
      </c>
      <c r="J141" s="80">
        <v>328.95</v>
      </c>
      <c r="K141" s="37">
        <v>339.62</v>
      </c>
      <c r="L141" s="80">
        <v>353.45</v>
      </c>
      <c r="M141" s="81">
        <v>371.12</v>
      </c>
      <c r="N141" s="82">
        <v>389.68</v>
      </c>
      <c r="O141" s="28">
        <v>409.16</v>
      </c>
      <c r="P141" s="80">
        <v>429.62</v>
      </c>
      <c r="Q141" s="28">
        <v>451.11</v>
      </c>
      <c r="R141" s="80">
        <v>473.66</v>
      </c>
      <c r="S141" s="81">
        <v>497.34</v>
      </c>
      <c r="T141" s="33">
        <v>522.22</v>
      </c>
      <c r="U141" s="34">
        <v>548.32000000000005</v>
      </c>
      <c r="V141" s="35">
        <v>575.73</v>
      </c>
      <c r="W141" s="34">
        <v>604.52</v>
      </c>
      <c r="X141" s="35">
        <v>634.74</v>
      </c>
      <c r="Y141" s="34">
        <v>666.49</v>
      </c>
      <c r="Z141" s="36">
        <v>699.81</v>
      </c>
    </row>
    <row r="142" spans="1:26" x14ac:dyDescent="0.2">
      <c r="A142" s="96">
        <v>38961</v>
      </c>
      <c r="B142" s="82">
        <v>303.24</v>
      </c>
      <c r="C142" s="28">
        <v>303.24</v>
      </c>
      <c r="D142" s="80">
        <v>303.24</v>
      </c>
      <c r="E142" s="28">
        <v>303.24</v>
      </c>
      <c r="F142" s="80">
        <v>303.24</v>
      </c>
      <c r="G142" s="81">
        <v>303.24</v>
      </c>
      <c r="H142" s="82">
        <v>309.08999999999997</v>
      </c>
      <c r="I142" s="28">
        <v>318.77999999999997</v>
      </c>
      <c r="J142" s="80">
        <v>328.95</v>
      </c>
      <c r="K142" s="37">
        <v>339.62</v>
      </c>
      <c r="L142" s="80">
        <v>353.45</v>
      </c>
      <c r="M142" s="81">
        <v>371.12</v>
      </c>
      <c r="N142" s="82">
        <v>389.68</v>
      </c>
      <c r="O142" s="28">
        <v>409.16</v>
      </c>
      <c r="P142" s="80">
        <v>429.62</v>
      </c>
      <c r="Q142" s="28">
        <v>451.11</v>
      </c>
      <c r="R142" s="80">
        <v>473.66</v>
      </c>
      <c r="S142" s="81">
        <v>497.34</v>
      </c>
      <c r="T142" s="33">
        <v>522.22</v>
      </c>
      <c r="U142" s="34">
        <v>548.32000000000005</v>
      </c>
      <c r="V142" s="35">
        <v>575.73</v>
      </c>
      <c r="W142" s="34">
        <v>604.52</v>
      </c>
      <c r="X142" s="35">
        <v>634.74</v>
      </c>
      <c r="Y142" s="34">
        <v>666.49</v>
      </c>
      <c r="Z142" s="36">
        <v>699.81</v>
      </c>
    </row>
    <row r="143" spans="1:26" x14ac:dyDescent="0.2">
      <c r="A143" s="96">
        <v>38991</v>
      </c>
      <c r="B143" s="82">
        <v>303.24</v>
      </c>
      <c r="C143" s="28">
        <v>303.24</v>
      </c>
      <c r="D143" s="80">
        <v>303.24</v>
      </c>
      <c r="E143" s="28">
        <v>303.24</v>
      </c>
      <c r="F143" s="80">
        <v>303.24</v>
      </c>
      <c r="G143" s="81">
        <v>303.24</v>
      </c>
      <c r="H143" s="82">
        <v>309.08999999999997</v>
      </c>
      <c r="I143" s="28">
        <v>318.77999999999997</v>
      </c>
      <c r="J143" s="80">
        <v>328.95</v>
      </c>
      <c r="K143" s="37">
        <v>339.62</v>
      </c>
      <c r="L143" s="80">
        <v>353.45</v>
      </c>
      <c r="M143" s="81">
        <v>371.12</v>
      </c>
      <c r="N143" s="82">
        <v>389.68</v>
      </c>
      <c r="O143" s="28">
        <v>409.16</v>
      </c>
      <c r="P143" s="80">
        <v>429.62</v>
      </c>
      <c r="Q143" s="28">
        <v>451.11</v>
      </c>
      <c r="R143" s="80">
        <v>473.66</v>
      </c>
      <c r="S143" s="81">
        <v>497.34</v>
      </c>
      <c r="T143" s="33">
        <v>522.22</v>
      </c>
      <c r="U143" s="34">
        <v>548.32000000000005</v>
      </c>
      <c r="V143" s="35">
        <v>575.73</v>
      </c>
      <c r="W143" s="34">
        <v>604.52</v>
      </c>
      <c r="X143" s="35">
        <v>634.74</v>
      </c>
      <c r="Y143" s="34">
        <v>666.49</v>
      </c>
      <c r="Z143" s="36">
        <v>699.81</v>
      </c>
    </row>
    <row r="144" spans="1:26" x14ac:dyDescent="0.2">
      <c r="A144" s="96">
        <v>39022</v>
      </c>
      <c r="B144" s="82">
        <v>303.24</v>
      </c>
      <c r="C144" s="28">
        <v>303.24</v>
      </c>
      <c r="D144" s="80">
        <v>303.24</v>
      </c>
      <c r="E144" s="28">
        <v>303.24</v>
      </c>
      <c r="F144" s="80">
        <v>303.24</v>
      </c>
      <c r="G144" s="81">
        <v>303.24</v>
      </c>
      <c r="H144" s="82">
        <v>309.08999999999997</v>
      </c>
      <c r="I144" s="28">
        <v>318.77999999999997</v>
      </c>
      <c r="J144" s="80">
        <v>328.95</v>
      </c>
      <c r="K144" s="37">
        <v>339.62</v>
      </c>
      <c r="L144" s="80">
        <v>353.45</v>
      </c>
      <c r="M144" s="81">
        <v>371.12</v>
      </c>
      <c r="N144" s="82">
        <v>389.68</v>
      </c>
      <c r="O144" s="28">
        <v>409.16</v>
      </c>
      <c r="P144" s="80">
        <v>429.62</v>
      </c>
      <c r="Q144" s="28">
        <v>451.11</v>
      </c>
      <c r="R144" s="80">
        <v>473.66</v>
      </c>
      <c r="S144" s="81">
        <v>497.34</v>
      </c>
      <c r="T144" s="33">
        <v>522.22</v>
      </c>
      <c r="U144" s="34">
        <v>548.32000000000005</v>
      </c>
      <c r="V144" s="35">
        <v>575.73</v>
      </c>
      <c r="W144" s="34">
        <v>604.52</v>
      </c>
      <c r="X144" s="35">
        <v>634.74</v>
      </c>
      <c r="Y144" s="34">
        <v>666.49</v>
      </c>
      <c r="Z144" s="36">
        <v>699.81</v>
      </c>
    </row>
    <row r="145" spans="1:26" ht="13.5" thickBot="1" x14ac:dyDescent="0.25">
      <c r="A145" s="96">
        <v>39052</v>
      </c>
      <c r="B145" s="90">
        <v>303.24</v>
      </c>
      <c r="C145" s="87">
        <v>303.24</v>
      </c>
      <c r="D145" s="88">
        <v>303.24</v>
      </c>
      <c r="E145" s="87">
        <v>303.24</v>
      </c>
      <c r="F145" s="88">
        <v>303.24</v>
      </c>
      <c r="G145" s="89">
        <v>303.24</v>
      </c>
      <c r="H145" s="90">
        <v>309.08999999999997</v>
      </c>
      <c r="I145" s="87">
        <v>318.77999999999997</v>
      </c>
      <c r="J145" s="88">
        <v>328.95</v>
      </c>
      <c r="K145" s="109">
        <v>339.62</v>
      </c>
      <c r="L145" s="88">
        <v>353.45</v>
      </c>
      <c r="M145" s="89">
        <v>371.12</v>
      </c>
      <c r="N145" s="90">
        <v>389.68</v>
      </c>
      <c r="O145" s="87">
        <v>409.16</v>
      </c>
      <c r="P145" s="88">
        <v>429.62</v>
      </c>
      <c r="Q145" s="87">
        <v>451.11</v>
      </c>
      <c r="R145" s="88">
        <v>473.66</v>
      </c>
      <c r="S145" s="89">
        <v>497.34</v>
      </c>
      <c r="T145" s="45">
        <v>522.22</v>
      </c>
      <c r="U145" s="43">
        <v>548.32000000000005</v>
      </c>
      <c r="V145" s="42">
        <v>575.73</v>
      </c>
      <c r="W145" s="43">
        <v>604.52</v>
      </c>
      <c r="X145" s="42">
        <v>634.74</v>
      </c>
      <c r="Y145" s="43">
        <v>666.49</v>
      </c>
      <c r="Z145" s="44">
        <v>699.81</v>
      </c>
    </row>
    <row r="146" spans="1:26" x14ac:dyDescent="0.2">
      <c r="A146" s="96">
        <v>39083</v>
      </c>
      <c r="B146" s="100">
        <v>303.24</v>
      </c>
      <c r="C146" s="101">
        <v>303.24</v>
      </c>
      <c r="D146" s="102">
        <v>303.24</v>
      </c>
      <c r="E146" s="101">
        <v>303.24</v>
      </c>
      <c r="F146" s="102">
        <v>303.24</v>
      </c>
      <c r="G146" s="103">
        <v>303.24</v>
      </c>
      <c r="H146" s="100">
        <v>309.08999999999997</v>
      </c>
      <c r="I146" s="101">
        <v>318.77999999999997</v>
      </c>
      <c r="J146" s="102">
        <v>328.95</v>
      </c>
      <c r="K146" s="108">
        <v>339.62</v>
      </c>
      <c r="L146" s="102">
        <v>353.45</v>
      </c>
      <c r="M146" s="103">
        <v>371.12</v>
      </c>
      <c r="N146" s="100">
        <v>389.68</v>
      </c>
      <c r="O146" s="101">
        <v>409.16</v>
      </c>
      <c r="P146" s="102">
        <v>429.62</v>
      </c>
      <c r="Q146" s="101">
        <v>451.11</v>
      </c>
      <c r="R146" s="102">
        <v>473.66</v>
      </c>
      <c r="S146" s="103">
        <v>497.34</v>
      </c>
      <c r="T146" s="104">
        <v>522.22</v>
      </c>
      <c r="U146" s="105">
        <v>548.32000000000005</v>
      </c>
      <c r="V146" s="106">
        <v>575.73</v>
      </c>
      <c r="W146" s="105">
        <v>604.52</v>
      </c>
      <c r="X146" s="106">
        <v>634.74</v>
      </c>
      <c r="Y146" s="105">
        <v>666.49</v>
      </c>
      <c r="Z146" s="107">
        <v>699.81</v>
      </c>
    </row>
    <row r="147" spans="1:26" x14ac:dyDescent="0.2">
      <c r="A147" s="96">
        <v>39114</v>
      </c>
      <c r="B147" s="82">
        <v>303.24</v>
      </c>
      <c r="C147" s="28">
        <v>303.24</v>
      </c>
      <c r="D147" s="80">
        <v>303.24</v>
      </c>
      <c r="E147" s="28">
        <v>303.24</v>
      </c>
      <c r="F147" s="80">
        <v>303.24</v>
      </c>
      <c r="G147" s="81">
        <v>303.24</v>
      </c>
      <c r="H147" s="82">
        <v>309.08999999999997</v>
      </c>
      <c r="I147" s="28">
        <v>318.77999999999997</v>
      </c>
      <c r="J147" s="80">
        <v>328.95</v>
      </c>
      <c r="K147" s="37">
        <v>339.62</v>
      </c>
      <c r="L147" s="80">
        <v>353.45</v>
      </c>
      <c r="M147" s="81">
        <v>371.12</v>
      </c>
      <c r="N147" s="82">
        <v>389.68</v>
      </c>
      <c r="O147" s="28">
        <v>409.16</v>
      </c>
      <c r="P147" s="80">
        <v>429.62</v>
      </c>
      <c r="Q147" s="28">
        <v>451.11</v>
      </c>
      <c r="R147" s="80">
        <v>473.66</v>
      </c>
      <c r="S147" s="81">
        <v>497.34</v>
      </c>
      <c r="T147" s="33">
        <v>522.22</v>
      </c>
      <c r="U147" s="34">
        <v>548.32000000000005</v>
      </c>
      <c r="V147" s="35">
        <v>575.73</v>
      </c>
      <c r="W147" s="34">
        <v>604.52</v>
      </c>
      <c r="X147" s="35">
        <v>634.74</v>
      </c>
      <c r="Y147" s="34">
        <v>666.49</v>
      </c>
      <c r="Z147" s="36">
        <v>699.81</v>
      </c>
    </row>
    <row r="148" spans="1:26" x14ac:dyDescent="0.2">
      <c r="A148" s="96">
        <v>39142</v>
      </c>
      <c r="B148" s="82">
        <v>303.24</v>
      </c>
      <c r="C148" s="28">
        <v>303.24</v>
      </c>
      <c r="D148" s="80">
        <v>303.24</v>
      </c>
      <c r="E148" s="28">
        <v>303.24</v>
      </c>
      <c r="F148" s="80">
        <v>303.24</v>
      </c>
      <c r="G148" s="81">
        <v>306.31</v>
      </c>
      <c r="H148" s="82">
        <v>321.62</v>
      </c>
      <c r="I148" s="28">
        <v>337.7</v>
      </c>
      <c r="J148" s="80">
        <v>354.59</v>
      </c>
      <c r="K148" s="28">
        <v>372.32</v>
      </c>
      <c r="L148" s="80">
        <v>390.93</v>
      </c>
      <c r="M148" s="81">
        <v>410.48</v>
      </c>
      <c r="N148" s="82">
        <v>431.01</v>
      </c>
      <c r="O148" s="28">
        <v>452.56</v>
      </c>
      <c r="P148" s="80">
        <v>475.18</v>
      </c>
      <c r="Q148" s="28">
        <v>498.94</v>
      </c>
      <c r="R148" s="80">
        <v>523.89</v>
      </c>
      <c r="S148" s="81">
        <v>550.08000000000004</v>
      </c>
      <c r="T148" s="33">
        <v>577.59</v>
      </c>
      <c r="U148" s="34">
        <v>606.47</v>
      </c>
      <c r="V148" s="35">
        <v>636.79</v>
      </c>
      <c r="W148" s="34">
        <v>668.63</v>
      </c>
      <c r="X148" s="35">
        <v>702.06</v>
      </c>
      <c r="Y148" s="34">
        <v>737.17</v>
      </c>
      <c r="Z148" s="36">
        <v>774.02</v>
      </c>
    </row>
    <row r="149" spans="1:26" x14ac:dyDescent="0.2">
      <c r="A149" s="96">
        <v>39173</v>
      </c>
      <c r="B149" s="82">
        <v>303.24</v>
      </c>
      <c r="C149" s="28">
        <v>303.24</v>
      </c>
      <c r="D149" s="80">
        <v>303.24</v>
      </c>
      <c r="E149" s="28">
        <v>303.24</v>
      </c>
      <c r="F149" s="80">
        <v>303.24</v>
      </c>
      <c r="G149" s="81">
        <v>306.31</v>
      </c>
      <c r="H149" s="82">
        <v>321.62</v>
      </c>
      <c r="I149" s="28">
        <v>337.7</v>
      </c>
      <c r="J149" s="80">
        <v>354.59</v>
      </c>
      <c r="K149" s="28">
        <v>372.32</v>
      </c>
      <c r="L149" s="80">
        <v>390.93</v>
      </c>
      <c r="M149" s="81">
        <v>410.48</v>
      </c>
      <c r="N149" s="82">
        <v>431.01</v>
      </c>
      <c r="O149" s="28">
        <v>452.56</v>
      </c>
      <c r="P149" s="80">
        <v>475.18</v>
      </c>
      <c r="Q149" s="28">
        <v>498.94</v>
      </c>
      <c r="R149" s="80">
        <v>523.89</v>
      </c>
      <c r="S149" s="81">
        <v>550.08000000000004</v>
      </c>
      <c r="T149" s="33">
        <v>577.59</v>
      </c>
      <c r="U149" s="34">
        <v>606.47</v>
      </c>
      <c r="V149" s="35">
        <v>636.79</v>
      </c>
      <c r="W149" s="34">
        <v>668.63</v>
      </c>
      <c r="X149" s="35">
        <v>702.06</v>
      </c>
      <c r="Y149" s="34">
        <v>737.17</v>
      </c>
      <c r="Z149" s="36">
        <v>774.02</v>
      </c>
    </row>
    <row r="150" spans="1:26" x14ac:dyDescent="0.2">
      <c r="A150" s="96">
        <v>39203</v>
      </c>
      <c r="B150" s="82">
        <v>303.24</v>
      </c>
      <c r="C150" s="28">
        <v>303.24</v>
      </c>
      <c r="D150" s="80">
        <v>303.24</v>
      </c>
      <c r="E150" s="28">
        <v>303.24</v>
      </c>
      <c r="F150" s="80">
        <v>303.24</v>
      </c>
      <c r="G150" s="81">
        <v>306.31</v>
      </c>
      <c r="H150" s="82">
        <v>321.62</v>
      </c>
      <c r="I150" s="28">
        <v>337.7</v>
      </c>
      <c r="J150" s="80">
        <v>354.59</v>
      </c>
      <c r="K150" s="28">
        <v>372.32</v>
      </c>
      <c r="L150" s="80">
        <v>390.93</v>
      </c>
      <c r="M150" s="81">
        <v>410.48</v>
      </c>
      <c r="N150" s="82">
        <v>431.01</v>
      </c>
      <c r="O150" s="28">
        <v>452.56</v>
      </c>
      <c r="P150" s="80">
        <v>475.18</v>
      </c>
      <c r="Q150" s="28">
        <v>498.94</v>
      </c>
      <c r="R150" s="80">
        <v>523.89</v>
      </c>
      <c r="S150" s="81">
        <v>550.08000000000004</v>
      </c>
      <c r="T150" s="33">
        <v>577.59</v>
      </c>
      <c r="U150" s="34">
        <v>606.47</v>
      </c>
      <c r="V150" s="35">
        <v>636.79</v>
      </c>
      <c r="W150" s="34">
        <v>668.63</v>
      </c>
      <c r="X150" s="35">
        <v>702.06</v>
      </c>
      <c r="Y150" s="34">
        <v>737.17</v>
      </c>
      <c r="Z150" s="36">
        <v>774.02</v>
      </c>
    </row>
    <row r="151" spans="1:26" x14ac:dyDescent="0.2">
      <c r="A151" s="96">
        <v>39234</v>
      </c>
      <c r="B151" s="82">
        <v>303.24</v>
      </c>
      <c r="C151" s="28">
        <v>303.24</v>
      </c>
      <c r="D151" s="80">
        <v>303.24</v>
      </c>
      <c r="E151" s="28">
        <v>303.24</v>
      </c>
      <c r="F151" s="80">
        <v>303.24</v>
      </c>
      <c r="G151" s="81">
        <v>306.31</v>
      </c>
      <c r="H151" s="82">
        <v>321.62</v>
      </c>
      <c r="I151" s="28">
        <v>337.7</v>
      </c>
      <c r="J151" s="80">
        <v>354.59</v>
      </c>
      <c r="K151" s="28">
        <v>372.32</v>
      </c>
      <c r="L151" s="80">
        <v>390.93</v>
      </c>
      <c r="M151" s="81">
        <v>410.48</v>
      </c>
      <c r="N151" s="82">
        <v>431.01</v>
      </c>
      <c r="O151" s="28">
        <v>452.56</v>
      </c>
      <c r="P151" s="80">
        <v>475.18</v>
      </c>
      <c r="Q151" s="28">
        <v>498.94</v>
      </c>
      <c r="R151" s="80">
        <v>523.89</v>
      </c>
      <c r="S151" s="81">
        <v>550.08000000000004</v>
      </c>
      <c r="T151" s="33">
        <v>577.59</v>
      </c>
      <c r="U151" s="34">
        <v>606.47</v>
      </c>
      <c r="V151" s="35">
        <v>636.79</v>
      </c>
      <c r="W151" s="34">
        <v>668.63</v>
      </c>
      <c r="X151" s="35">
        <v>702.06</v>
      </c>
      <c r="Y151" s="34">
        <v>737.17</v>
      </c>
      <c r="Z151" s="36">
        <v>774.02</v>
      </c>
    </row>
    <row r="152" spans="1:26" x14ac:dyDescent="0.2">
      <c r="A152" s="96">
        <v>39264</v>
      </c>
      <c r="B152" s="82">
        <v>303.24</v>
      </c>
      <c r="C152" s="28">
        <v>303.24</v>
      </c>
      <c r="D152" s="80">
        <v>303.24</v>
      </c>
      <c r="E152" s="28">
        <v>303.24</v>
      </c>
      <c r="F152" s="80">
        <v>303.24</v>
      </c>
      <c r="G152" s="81">
        <v>306.31</v>
      </c>
      <c r="H152" s="82">
        <v>321.62</v>
      </c>
      <c r="I152" s="28">
        <v>337.7</v>
      </c>
      <c r="J152" s="80">
        <v>354.59</v>
      </c>
      <c r="K152" s="28">
        <v>372.32</v>
      </c>
      <c r="L152" s="80">
        <v>390.93</v>
      </c>
      <c r="M152" s="81">
        <v>410.48</v>
      </c>
      <c r="N152" s="82">
        <v>431.01</v>
      </c>
      <c r="O152" s="28">
        <v>452.56</v>
      </c>
      <c r="P152" s="80">
        <v>475.18</v>
      </c>
      <c r="Q152" s="28">
        <v>498.94</v>
      </c>
      <c r="R152" s="80">
        <v>523.89</v>
      </c>
      <c r="S152" s="81">
        <v>550.08000000000004</v>
      </c>
      <c r="T152" s="33">
        <v>577.59</v>
      </c>
      <c r="U152" s="34">
        <v>606.47</v>
      </c>
      <c r="V152" s="35">
        <v>636.79</v>
      </c>
      <c r="W152" s="34">
        <v>668.63</v>
      </c>
      <c r="X152" s="35">
        <v>702.06</v>
      </c>
      <c r="Y152" s="34">
        <v>737.17</v>
      </c>
      <c r="Z152" s="36">
        <v>774.02</v>
      </c>
    </row>
    <row r="153" spans="1:26" x14ac:dyDescent="0.2">
      <c r="A153" s="96">
        <v>39295</v>
      </c>
      <c r="B153" s="82">
        <v>303.24</v>
      </c>
      <c r="C153" s="28">
        <v>303.24</v>
      </c>
      <c r="D153" s="80">
        <v>303.24</v>
      </c>
      <c r="E153" s="28">
        <v>303.24</v>
      </c>
      <c r="F153" s="80">
        <v>303.24</v>
      </c>
      <c r="G153" s="81">
        <v>306.31</v>
      </c>
      <c r="H153" s="82">
        <v>321.62</v>
      </c>
      <c r="I153" s="28">
        <v>337.7</v>
      </c>
      <c r="J153" s="80">
        <v>354.59</v>
      </c>
      <c r="K153" s="28">
        <v>372.32</v>
      </c>
      <c r="L153" s="80">
        <v>390.93</v>
      </c>
      <c r="M153" s="81">
        <v>410.48</v>
      </c>
      <c r="N153" s="82">
        <v>431.01</v>
      </c>
      <c r="O153" s="28">
        <v>452.56</v>
      </c>
      <c r="P153" s="80">
        <v>475.18</v>
      </c>
      <c r="Q153" s="28">
        <v>498.94</v>
      </c>
      <c r="R153" s="80">
        <v>523.89</v>
      </c>
      <c r="S153" s="81">
        <v>550.08000000000004</v>
      </c>
      <c r="T153" s="33">
        <v>577.59</v>
      </c>
      <c r="U153" s="34">
        <v>606.47</v>
      </c>
      <c r="V153" s="35">
        <v>636.79</v>
      </c>
      <c r="W153" s="34">
        <v>668.63</v>
      </c>
      <c r="X153" s="35">
        <v>702.06</v>
      </c>
      <c r="Y153" s="34">
        <v>737.17</v>
      </c>
      <c r="Z153" s="36">
        <v>774.02</v>
      </c>
    </row>
    <row r="154" spans="1:26" x14ac:dyDescent="0.2">
      <c r="A154" s="96">
        <v>39326</v>
      </c>
      <c r="B154" s="82">
        <v>303.24</v>
      </c>
      <c r="C154" s="28">
        <v>303.24</v>
      </c>
      <c r="D154" s="80">
        <v>303.24</v>
      </c>
      <c r="E154" s="28">
        <v>303.24</v>
      </c>
      <c r="F154" s="80">
        <v>303.24</v>
      </c>
      <c r="G154" s="81">
        <v>306.31</v>
      </c>
      <c r="H154" s="82">
        <v>321.62</v>
      </c>
      <c r="I154" s="28">
        <v>337.7</v>
      </c>
      <c r="J154" s="80">
        <v>354.59</v>
      </c>
      <c r="K154" s="28">
        <v>372.32</v>
      </c>
      <c r="L154" s="80">
        <v>390.93</v>
      </c>
      <c r="M154" s="81">
        <v>410.48</v>
      </c>
      <c r="N154" s="82">
        <v>431.01</v>
      </c>
      <c r="O154" s="28">
        <v>452.56</v>
      </c>
      <c r="P154" s="80">
        <v>475.18</v>
      </c>
      <c r="Q154" s="28">
        <v>498.94</v>
      </c>
      <c r="R154" s="80">
        <v>523.89</v>
      </c>
      <c r="S154" s="81">
        <v>550.08000000000004</v>
      </c>
      <c r="T154" s="33">
        <v>577.59</v>
      </c>
      <c r="U154" s="34">
        <v>606.47</v>
      </c>
      <c r="V154" s="35">
        <v>636.79</v>
      </c>
      <c r="W154" s="34">
        <v>668.63</v>
      </c>
      <c r="X154" s="35">
        <v>702.06</v>
      </c>
      <c r="Y154" s="34">
        <v>737.17</v>
      </c>
      <c r="Z154" s="36">
        <v>774.02</v>
      </c>
    </row>
    <row r="155" spans="1:26" x14ac:dyDescent="0.2">
      <c r="A155" s="96">
        <v>39356</v>
      </c>
      <c r="B155" s="82">
        <v>355</v>
      </c>
      <c r="C155" s="28">
        <v>356.78</v>
      </c>
      <c r="D155" s="80">
        <v>358.56</v>
      </c>
      <c r="E155" s="28">
        <v>360.35</v>
      </c>
      <c r="F155" s="80">
        <v>362.16</v>
      </c>
      <c r="G155" s="81">
        <v>363.97</v>
      </c>
      <c r="H155" s="82">
        <v>365.79</v>
      </c>
      <c r="I155" s="28">
        <v>367.62</v>
      </c>
      <c r="J155" s="80">
        <v>369.45</v>
      </c>
      <c r="K155" s="28">
        <v>379.77</v>
      </c>
      <c r="L155" s="80">
        <v>398.75</v>
      </c>
      <c r="M155" s="81">
        <v>418.69</v>
      </c>
      <c r="N155" s="82">
        <v>439.63</v>
      </c>
      <c r="O155" s="28">
        <v>461.61</v>
      </c>
      <c r="P155" s="80">
        <v>484.68</v>
      </c>
      <c r="Q155" s="28">
        <v>508.92</v>
      </c>
      <c r="R155" s="80">
        <v>534.37</v>
      </c>
      <c r="S155" s="81">
        <v>561.08000000000004</v>
      </c>
      <c r="T155" s="33">
        <v>589.14</v>
      </c>
      <c r="U155" s="34">
        <v>618.6</v>
      </c>
      <c r="V155" s="35">
        <v>649.52678759850005</v>
      </c>
      <c r="W155" s="34">
        <v>682.00312697842503</v>
      </c>
      <c r="X155" s="35">
        <v>716.10328332734628</v>
      </c>
      <c r="Y155" s="34">
        <v>751.90844749371354</v>
      </c>
      <c r="Z155" s="36">
        <v>789.50386986839919</v>
      </c>
    </row>
    <row r="156" spans="1:26" x14ac:dyDescent="0.2">
      <c r="A156" s="96">
        <v>39387</v>
      </c>
      <c r="B156" s="82">
        <v>355</v>
      </c>
      <c r="C156" s="28">
        <v>356.78</v>
      </c>
      <c r="D156" s="80">
        <v>358.56</v>
      </c>
      <c r="E156" s="28">
        <v>360.35</v>
      </c>
      <c r="F156" s="80">
        <v>362.16</v>
      </c>
      <c r="G156" s="81">
        <v>363.97</v>
      </c>
      <c r="H156" s="82">
        <v>365.79</v>
      </c>
      <c r="I156" s="28">
        <v>367.62</v>
      </c>
      <c r="J156" s="80">
        <v>369.45</v>
      </c>
      <c r="K156" s="28">
        <v>379.77</v>
      </c>
      <c r="L156" s="80">
        <v>398.75</v>
      </c>
      <c r="M156" s="81">
        <v>418.69</v>
      </c>
      <c r="N156" s="82">
        <v>439.63</v>
      </c>
      <c r="O156" s="28">
        <v>461.61</v>
      </c>
      <c r="P156" s="80">
        <v>484.68</v>
      </c>
      <c r="Q156" s="28">
        <v>508.92</v>
      </c>
      <c r="R156" s="80">
        <v>534.37</v>
      </c>
      <c r="S156" s="81">
        <v>561.08000000000004</v>
      </c>
      <c r="T156" s="33">
        <v>589.14</v>
      </c>
      <c r="U156" s="34">
        <v>618.6</v>
      </c>
      <c r="V156" s="35">
        <v>649.52678759850005</v>
      </c>
      <c r="W156" s="34">
        <v>682.00312697842503</v>
      </c>
      <c r="X156" s="35">
        <v>716.10328332734628</v>
      </c>
      <c r="Y156" s="34">
        <v>751.90844749371354</v>
      </c>
      <c r="Z156" s="36">
        <v>789.50386986839919</v>
      </c>
    </row>
    <row r="157" spans="1:26" x14ac:dyDescent="0.2">
      <c r="A157" s="96">
        <v>39417</v>
      </c>
      <c r="B157" s="82">
        <v>355</v>
      </c>
      <c r="C157" s="28">
        <v>356.78</v>
      </c>
      <c r="D157" s="80">
        <v>358.56</v>
      </c>
      <c r="E157" s="28">
        <v>360.35</v>
      </c>
      <c r="F157" s="80">
        <v>362.16</v>
      </c>
      <c r="G157" s="81">
        <v>363.97</v>
      </c>
      <c r="H157" s="82">
        <v>365.79</v>
      </c>
      <c r="I157" s="28">
        <v>367.62</v>
      </c>
      <c r="J157" s="80">
        <v>369.45</v>
      </c>
      <c r="K157" s="28">
        <v>379.77</v>
      </c>
      <c r="L157" s="80">
        <v>398.75</v>
      </c>
      <c r="M157" s="81">
        <v>418.69</v>
      </c>
      <c r="N157" s="82">
        <v>439.63</v>
      </c>
      <c r="O157" s="28">
        <v>461.61</v>
      </c>
      <c r="P157" s="80">
        <v>484.68</v>
      </c>
      <c r="Q157" s="28">
        <v>508.92</v>
      </c>
      <c r="R157" s="80">
        <v>534.37</v>
      </c>
      <c r="S157" s="81">
        <v>561.08000000000004</v>
      </c>
      <c r="T157" s="33">
        <v>589.14</v>
      </c>
      <c r="U157" s="34">
        <v>618.6</v>
      </c>
      <c r="V157" s="35">
        <v>649.52678759850005</v>
      </c>
      <c r="W157" s="34">
        <v>682.00312697842503</v>
      </c>
      <c r="X157" s="35">
        <v>716.10328332734628</v>
      </c>
      <c r="Y157" s="34">
        <v>751.90844749371354</v>
      </c>
      <c r="Z157" s="36">
        <v>789.50386986839919</v>
      </c>
    </row>
    <row r="158" spans="1:26" ht="13.5" thickBot="1" x14ac:dyDescent="0.25">
      <c r="A158" s="96">
        <v>39448</v>
      </c>
      <c r="B158" s="90">
        <v>355</v>
      </c>
      <c r="C158" s="87">
        <v>356.78</v>
      </c>
      <c r="D158" s="88">
        <v>358.56</v>
      </c>
      <c r="E158" s="87">
        <v>360.35</v>
      </c>
      <c r="F158" s="88">
        <v>362.16</v>
      </c>
      <c r="G158" s="89">
        <v>363.97</v>
      </c>
      <c r="H158" s="90">
        <v>365.79</v>
      </c>
      <c r="I158" s="87">
        <v>367.62</v>
      </c>
      <c r="J158" s="88">
        <v>369.45</v>
      </c>
      <c r="K158" s="87">
        <v>379.77</v>
      </c>
      <c r="L158" s="88">
        <v>398.75</v>
      </c>
      <c r="M158" s="89">
        <v>418.69</v>
      </c>
      <c r="N158" s="90">
        <v>439.63</v>
      </c>
      <c r="O158" s="87">
        <v>461.61</v>
      </c>
      <c r="P158" s="88">
        <v>484.68</v>
      </c>
      <c r="Q158" s="87">
        <v>508.92</v>
      </c>
      <c r="R158" s="88">
        <v>534.37</v>
      </c>
      <c r="S158" s="89">
        <v>561.08000000000004</v>
      </c>
      <c r="T158" s="45">
        <v>589.14</v>
      </c>
      <c r="U158" s="43">
        <v>618.6</v>
      </c>
      <c r="V158" s="42">
        <v>649.52678759850005</v>
      </c>
      <c r="W158" s="43">
        <v>682.00312697842503</v>
      </c>
      <c r="X158" s="42">
        <v>716.10328332734628</v>
      </c>
      <c r="Y158" s="43">
        <v>751.90844749371354</v>
      </c>
      <c r="Z158" s="44">
        <v>789.50386986839919</v>
      </c>
    </row>
    <row r="159" spans="1:26" x14ac:dyDescent="0.2">
      <c r="A159" s="96">
        <v>39479</v>
      </c>
      <c r="B159" s="100">
        <v>355</v>
      </c>
      <c r="C159" s="101">
        <v>356.78</v>
      </c>
      <c r="D159" s="102">
        <v>358.56</v>
      </c>
      <c r="E159" s="101">
        <v>360.35</v>
      </c>
      <c r="F159" s="102">
        <v>362.16</v>
      </c>
      <c r="G159" s="103">
        <v>363.97</v>
      </c>
      <c r="H159" s="100">
        <v>365.79</v>
      </c>
      <c r="I159" s="101">
        <v>367.62</v>
      </c>
      <c r="J159" s="102">
        <v>369.45</v>
      </c>
      <c r="K159" s="101">
        <v>379.77</v>
      </c>
      <c r="L159" s="102">
        <v>398.75</v>
      </c>
      <c r="M159" s="103">
        <v>418.69</v>
      </c>
      <c r="N159" s="100">
        <v>439.63</v>
      </c>
      <c r="O159" s="101">
        <v>461.61</v>
      </c>
      <c r="P159" s="102">
        <v>484.68</v>
      </c>
      <c r="Q159" s="101">
        <v>508.92</v>
      </c>
      <c r="R159" s="102">
        <v>534.37</v>
      </c>
      <c r="S159" s="103">
        <v>561.08000000000004</v>
      </c>
      <c r="T159" s="104">
        <v>589.14</v>
      </c>
      <c r="U159" s="105">
        <v>618.6</v>
      </c>
      <c r="V159" s="106">
        <v>649.52678759850005</v>
      </c>
      <c r="W159" s="105">
        <v>682.00312697842503</v>
      </c>
      <c r="X159" s="106">
        <v>716.10328332734628</v>
      </c>
      <c r="Y159" s="105">
        <v>751.90844749371354</v>
      </c>
      <c r="Z159" s="107">
        <v>789.50386986839919</v>
      </c>
    </row>
    <row r="160" spans="1:26" x14ac:dyDescent="0.2">
      <c r="A160" s="96">
        <v>39508</v>
      </c>
      <c r="B160" s="82">
        <v>355</v>
      </c>
      <c r="C160" s="28">
        <v>356.78</v>
      </c>
      <c r="D160" s="80">
        <v>358.56</v>
      </c>
      <c r="E160" s="28">
        <v>360.35</v>
      </c>
      <c r="F160" s="80">
        <v>362.16</v>
      </c>
      <c r="G160" s="81">
        <v>363.97</v>
      </c>
      <c r="H160" s="82">
        <v>365.79</v>
      </c>
      <c r="I160" s="28">
        <v>367.62</v>
      </c>
      <c r="J160" s="80">
        <v>369.45</v>
      </c>
      <c r="K160" s="28">
        <v>379.77</v>
      </c>
      <c r="L160" s="80">
        <v>398.75</v>
      </c>
      <c r="M160" s="81">
        <v>418.69</v>
      </c>
      <c r="N160" s="82">
        <v>439.63</v>
      </c>
      <c r="O160" s="28">
        <v>461.61</v>
      </c>
      <c r="P160" s="80">
        <v>484.68</v>
      </c>
      <c r="Q160" s="28">
        <v>508.92</v>
      </c>
      <c r="R160" s="80">
        <v>534.37</v>
      </c>
      <c r="S160" s="81">
        <v>561.08000000000004</v>
      </c>
      <c r="T160" s="33">
        <v>589.14</v>
      </c>
      <c r="U160" s="34">
        <v>618.6</v>
      </c>
      <c r="V160" s="35">
        <v>649.52678759850005</v>
      </c>
      <c r="W160" s="34">
        <v>682.00312697842503</v>
      </c>
      <c r="X160" s="35">
        <v>716.10328332734628</v>
      </c>
      <c r="Y160" s="34">
        <v>751.90844749371354</v>
      </c>
      <c r="Z160" s="36">
        <v>789.50386986839919</v>
      </c>
    </row>
    <row r="161" spans="1:26" x14ac:dyDescent="0.2">
      <c r="A161" s="96">
        <v>39539</v>
      </c>
      <c r="B161" s="82">
        <v>355</v>
      </c>
      <c r="C161" s="28">
        <v>356.78</v>
      </c>
      <c r="D161" s="80">
        <v>358.56</v>
      </c>
      <c r="E161" s="28">
        <v>360.35</v>
      </c>
      <c r="F161" s="80">
        <v>362.16</v>
      </c>
      <c r="G161" s="81">
        <v>363.97</v>
      </c>
      <c r="H161" s="82">
        <v>365.79</v>
      </c>
      <c r="I161" s="28">
        <v>367.62</v>
      </c>
      <c r="J161" s="80">
        <v>369.45</v>
      </c>
      <c r="K161" s="28">
        <v>379.77</v>
      </c>
      <c r="L161" s="80">
        <v>398.75</v>
      </c>
      <c r="M161" s="81">
        <v>418.69</v>
      </c>
      <c r="N161" s="82">
        <v>439.63</v>
      </c>
      <c r="O161" s="28">
        <v>461.61</v>
      </c>
      <c r="P161" s="80">
        <v>484.68</v>
      </c>
      <c r="Q161" s="28">
        <v>508.92</v>
      </c>
      <c r="R161" s="80">
        <v>534.37</v>
      </c>
      <c r="S161" s="81">
        <v>561.08000000000004</v>
      </c>
      <c r="T161" s="33">
        <v>589.14</v>
      </c>
      <c r="U161" s="34">
        <v>618.6</v>
      </c>
      <c r="V161" s="35">
        <v>649.52678759850005</v>
      </c>
      <c r="W161" s="34">
        <v>682.00312697842503</v>
      </c>
      <c r="X161" s="35">
        <v>716.10328332734628</v>
      </c>
      <c r="Y161" s="34">
        <v>751.90844749371354</v>
      </c>
      <c r="Z161" s="36">
        <v>789.50386986839919</v>
      </c>
    </row>
    <row r="162" spans="1:26" x14ac:dyDescent="0.2">
      <c r="A162" s="96">
        <v>39569</v>
      </c>
      <c r="B162" s="82">
        <v>366.44</v>
      </c>
      <c r="C162" s="28">
        <v>368.28</v>
      </c>
      <c r="D162" s="80">
        <v>370.11</v>
      </c>
      <c r="E162" s="28">
        <v>371.96</v>
      </c>
      <c r="F162" s="80">
        <v>373.82</v>
      </c>
      <c r="G162" s="81">
        <v>375.69</v>
      </c>
      <c r="H162" s="82">
        <v>377.57</v>
      </c>
      <c r="I162" s="28">
        <v>379.45</v>
      </c>
      <c r="J162" s="80">
        <v>381.35</v>
      </c>
      <c r="K162" s="28">
        <v>392.01</v>
      </c>
      <c r="L162" s="80">
        <v>411.6</v>
      </c>
      <c r="M162" s="81">
        <v>432.16</v>
      </c>
      <c r="N162" s="82">
        <v>453.79</v>
      </c>
      <c r="O162" s="28">
        <v>476.42</v>
      </c>
      <c r="P162" s="80">
        <v>500.3</v>
      </c>
      <c r="Q162" s="28">
        <v>525.32000000000005</v>
      </c>
      <c r="R162" s="80">
        <v>551.59</v>
      </c>
      <c r="S162" s="81">
        <v>579.16</v>
      </c>
      <c r="T162" s="33">
        <v>608.12</v>
      </c>
      <c r="U162" s="34">
        <v>638.52599999999995</v>
      </c>
      <c r="V162" s="35">
        <v>670.45229999999992</v>
      </c>
      <c r="W162" s="34">
        <v>703.9749149999999</v>
      </c>
      <c r="X162" s="35">
        <v>739.17366074999984</v>
      </c>
      <c r="Y162" s="34">
        <v>775.14</v>
      </c>
      <c r="Z162" s="36">
        <v>814.9389609768748</v>
      </c>
    </row>
    <row r="163" spans="1:26" x14ac:dyDescent="0.2">
      <c r="A163" s="96">
        <v>39600</v>
      </c>
      <c r="B163" s="82">
        <v>366.44</v>
      </c>
      <c r="C163" s="28">
        <v>368.28</v>
      </c>
      <c r="D163" s="80">
        <v>370.11</v>
      </c>
      <c r="E163" s="28">
        <v>371.96</v>
      </c>
      <c r="F163" s="80">
        <v>373.82</v>
      </c>
      <c r="G163" s="81">
        <v>375.69</v>
      </c>
      <c r="H163" s="82">
        <v>377.57</v>
      </c>
      <c r="I163" s="28">
        <v>379.45</v>
      </c>
      <c r="J163" s="80">
        <v>381.35</v>
      </c>
      <c r="K163" s="28">
        <v>392.01</v>
      </c>
      <c r="L163" s="80">
        <v>411.6</v>
      </c>
      <c r="M163" s="81">
        <v>432.16</v>
      </c>
      <c r="N163" s="82">
        <v>453.79</v>
      </c>
      <c r="O163" s="28">
        <v>476.42</v>
      </c>
      <c r="P163" s="80">
        <v>500.3</v>
      </c>
      <c r="Q163" s="28">
        <v>525.32000000000005</v>
      </c>
      <c r="R163" s="80">
        <v>551.59</v>
      </c>
      <c r="S163" s="81">
        <v>579.16</v>
      </c>
      <c r="T163" s="33">
        <v>608.12</v>
      </c>
      <c r="U163" s="34">
        <v>638.52599999999995</v>
      </c>
      <c r="V163" s="35">
        <v>670.45229999999992</v>
      </c>
      <c r="W163" s="34">
        <v>703.9749149999999</v>
      </c>
      <c r="X163" s="35">
        <v>739.17366074999984</v>
      </c>
      <c r="Y163" s="34">
        <v>775.14</v>
      </c>
      <c r="Z163" s="36">
        <v>814.9389609768748</v>
      </c>
    </row>
    <row r="164" spans="1:26" x14ac:dyDescent="0.2">
      <c r="A164" s="96">
        <v>39630</v>
      </c>
      <c r="B164" s="82">
        <v>366.44</v>
      </c>
      <c r="C164" s="28">
        <v>368.28</v>
      </c>
      <c r="D164" s="80">
        <v>370.11</v>
      </c>
      <c r="E164" s="28">
        <v>371.96</v>
      </c>
      <c r="F164" s="80">
        <v>373.82</v>
      </c>
      <c r="G164" s="81">
        <v>375.69</v>
      </c>
      <c r="H164" s="82">
        <v>377.57</v>
      </c>
      <c r="I164" s="28">
        <v>379.45</v>
      </c>
      <c r="J164" s="80">
        <v>381.35</v>
      </c>
      <c r="K164" s="28">
        <v>392.01</v>
      </c>
      <c r="L164" s="80">
        <v>411.6</v>
      </c>
      <c r="M164" s="81">
        <v>432.16</v>
      </c>
      <c r="N164" s="82">
        <v>453.79</v>
      </c>
      <c r="O164" s="28">
        <v>476.42</v>
      </c>
      <c r="P164" s="80">
        <v>500.3</v>
      </c>
      <c r="Q164" s="28">
        <v>525.32000000000005</v>
      </c>
      <c r="R164" s="80">
        <v>551.59</v>
      </c>
      <c r="S164" s="81">
        <v>579.16</v>
      </c>
      <c r="T164" s="33">
        <v>608.12</v>
      </c>
      <c r="U164" s="34">
        <v>638.52599999999995</v>
      </c>
      <c r="V164" s="35">
        <v>670.45229999999992</v>
      </c>
      <c r="W164" s="34">
        <v>703.9749149999999</v>
      </c>
      <c r="X164" s="35">
        <v>739.17366074999984</v>
      </c>
      <c r="Y164" s="34">
        <v>775.14</v>
      </c>
      <c r="Z164" s="36">
        <v>814.9389609768748</v>
      </c>
    </row>
    <row r="165" spans="1:26" x14ac:dyDescent="0.2">
      <c r="A165" s="96">
        <v>39661</v>
      </c>
      <c r="B165" s="82">
        <v>366.44</v>
      </c>
      <c r="C165" s="28">
        <v>368.28</v>
      </c>
      <c r="D165" s="80">
        <v>370.11</v>
      </c>
      <c r="E165" s="28">
        <v>371.96</v>
      </c>
      <c r="F165" s="80">
        <v>373.82</v>
      </c>
      <c r="G165" s="81">
        <v>375.69</v>
      </c>
      <c r="H165" s="82">
        <v>377.57</v>
      </c>
      <c r="I165" s="28">
        <v>379.45</v>
      </c>
      <c r="J165" s="80">
        <v>381.35</v>
      </c>
      <c r="K165" s="28">
        <v>392.01</v>
      </c>
      <c r="L165" s="80">
        <v>411.6</v>
      </c>
      <c r="M165" s="81">
        <v>432.16</v>
      </c>
      <c r="N165" s="82">
        <v>453.79</v>
      </c>
      <c r="O165" s="28">
        <v>476.42</v>
      </c>
      <c r="P165" s="80">
        <v>500.3</v>
      </c>
      <c r="Q165" s="28">
        <v>525.32000000000005</v>
      </c>
      <c r="R165" s="80">
        <v>551.59</v>
      </c>
      <c r="S165" s="81">
        <v>579.16</v>
      </c>
      <c r="T165" s="33">
        <v>608.12</v>
      </c>
      <c r="U165" s="34">
        <v>638.52599999999995</v>
      </c>
      <c r="V165" s="35">
        <v>670.45229999999992</v>
      </c>
      <c r="W165" s="34">
        <v>703.9749149999999</v>
      </c>
      <c r="X165" s="35">
        <v>739.17366074999984</v>
      </c>
      <c r="Y165" s="34">
        <v>775.14</v>
      </c>
      <c r="Z165" s="36">
        <v>814.9389609768748</v>
      </c>
    </row>
    <row r="166" spans="1:26" x14ac:dyDescent="0.2">
      <c r="A166" s="96">
        <v>39692</v>
      </c>
      <c r="B166" s="82">
        <v>366.44</v>
      </c>
      <c r="C166" s="28">
        <v>368.28</v>
      </c>
      <c r="D166" s="80">
        <v>370.11</v>
      </c>
      <c r="E166" s="28">
        <v>371.96</v>
      </c>
      <c r="F166" s="80">
        <v>373.82</v>
      </c>
      <c r="G166" s="81">
        <v>375.69</v>
      </c>
      <c r="H166" s="82">
        <v>377.57</v>
      </c>
      <c r="I166" s="28">
        <v>379.45</v>
      </c>
      <c r="J166" s="80">
        <v>381.35</v>
      </c>
      <c r="K166" s="28">
        <v>392.01</v>
      </c>
      <c r="L166" s="80">
        <v>411.6</v>
      </c>
      <c r="M166" s="81">
        <v>432.16</v>
      </c>
      <c r="N166" s="82">
        <v>453.79</v>
      </c>
      <c r="O166" s="28">
        <v>476.42</v>
      </c>
      <c r="P166" s="80">
        <v>500.3</v>
      </c>
      <c r="Q166" s="28">
        <v>525.32000000000005</v>
      </c>
      <c r="R166" s="80">
        <v>551.59</v>
      </c>
      <c r="S166" s="81">
        <v>579.16</v>
      </c>
      <c r="T166" s="33">
        <v>608.12</v>
      </c>
      <c r="U166" s="34">
        <v>638.52599999999995</v>
      </c>
      <c r="V166" s="35">
        <v>670.45229999999992</v>
      </c>
      <c r="W166" s="34">
        <v>703.9749149999999</v>
      </c>
      <c r="X166" s="35">
        <v>739.17366074999984</v>
      </c>
      <c r="Y166" s="34">
        <v>775.14</v>
      </c>
      <c r="Z166" s="36">
        <v>814.9389609768748</v>
      </c>
    </row>
    <row r="167" spans="1:26" x14ac:dyDescent="0.2">
      <c r="A167" s="96">
        <v>39722</v>
      </c>
      <c r="B167" s="82">
        <v>366.44</v>
      </c>
      <c r="C167" s="28">
        <v>368.28</v>
      </c>
      <c r="D167" s="80">
        <v>370.11</v>
      </c>
      <c r="E167" s="28">
        <v>371.96</v>
      </c>
      <c r="F167" s="80">
        <v>373.82</v>
      </c>
      <c r="G167" s="81">
        <v>375.69</v>
      </c>
      <c r="H167" s="82">
        <v>377.57</v>
      </c>
      <c r="I167" s="28">
        <v>379.45</v>
      </c>
      <c r="J167" s="80">
        <v>381.35</v>
      </c>
      <c r="K167" s="28">
        <v>392.01</v>
      </c>
      <c r="L167" s="80">
        <v>411.6</v>
      </c>
      <c r="M167" s="81">
        <v>432.16</v>
      </c>
      <c r="N167" s="82">
        <v>453.79</v>
      </c>
      <c r="O167" s="28">
        <v>476.42</v>
      </c>
      <c r="P167" s="80">
        <v>500.3</v>
      </c>
      <c r="Q167" s="28">
        <v>525.32000000000005</v>
      </c>
      <c r="R167" s="80">
        <v>551.59</v>
      </c>
      <c r="S167" s="81">
        <v>579.16</v>
      </c>
      <c r="T167" s="33">
        <v>608.12</v>
      </c>
      <c r="U167" s="34">
        <v>638.52599999999995</v>
      </c>
      <c r="V167" s="35">
        <v>670.45229999999992</v>
      </c>
      <c r="W167" s="34">
        <v>703.9749149999999</v>
      </c>
      <c r="X167" s="35">
        <v>739.17366074999984</v>
      </c>
      <c r="Y167" s="34">
        <v>775.14</v>
      </c>
      <c r="Z167" s="36">
        <v>814.9389609768748</v>
      </c>
    </row>
    <row r="168" spans="1:26" x14ac:dyDescent="0.2">
      <c r="A168" s="96">
        <v>39753</v>
      </c>
      <c r="B168" s="82">
        <v>366.44</v>
      </c>
      <c r="C168" s="28">
        <v>368.28</v>
      </c>
      <c r="D168" s="80">
        <v>370.11</v>
      </c>
      <c r="E168" s="28">
        <v>371.96</v>
      </c>
      <c r="F168" s="80">
        <v>373.82</v>
      </c>
      <c r="G168" s="81">
        <v>375.69</v>
      </c>
      <c r="H168" s="82">
        <v>377.57</v>
      </c>
      <c r="I168" s="28">
        <v>379.45</v>
      </c>
      <c r="J168" s="80">
        <v>381.35</v>
      </c>
      <c r="K168" s="28">
        <v>392.01</v>
      </c>
      <c r="L168" s="80">
        <v>411.6</v>
      </c>
      <c r="M168" s="81">
        <v>432.16</v>
      </c>
      <c r="N168" s="82">
        <v>453.79</v>
      </c>
      <c r="O168" s="28">
        <v>476.42</v>
      </c>
      <c r="P168" s="80">
        <v>500.3</v>
      </c>
      <c r="Q168" s="28">
        <v>525.32000000000005</v>
      </c>
      <c r="R168" s="80">
        <v>551.59</v>
      </c>
      <c r="S168" s="81">
        <v>579.16</v>
      </c>
      <c r="T168" s="33">
        <v>608.12</v>
      </c>
      <c r="U168" s="34">
        <v>638.52599999999995</v>
      </c>
      <c r="V168" s="35">
        <v>670.45229999999992</v>
      </c>
      <c r="W168" s="34">
        <v>703.9749149999999</v>
      </c>
      <c r="X168" s="35">
        <v>739.17366074999984</v>
      </c>
      <c r="Y168" s="34">
        <v>775.14</v>
      </c>
      <c r="Z168" s="36">
        <v>814.9389609768748</v>
      </c>
    </row>
    <row r="169" spans="1:26" ht="13.5" thickBot="1" x14ac:dyDescent="0.25">
      <c r="A169" s="96">
        <v>39783</v>
      </c>
      <c r="B169" s="90">
        <v>366.44</v>
      </c>
      <c r="C169" s="87">
        <v>368.28</v>
      </c>
      <c r="D169" s="88">
        <v>370.11</v>
      </c>
      <c r="E169" s="87">
        <v>371.96</v>
      </c>
      <c r="F169" s="88">
        <v>373.82</v>
      </c>
      <c r="G169" s="89">
        <v>375.69</v>
      </c>
      <c r="H169" s="90">
        <v>377.57</v>
      </c>
      <c r="I169" s="87">
        <v>379.45</v>
      </c>
      <c r="J169" s="88">
        <v>381.35</v>
      </c>
      <c r="K169" s="87">
        <v>392.01</v>
      </c>
      <c r="L169" s="88">
        <v>411.6</v>
      </c>
      <c r="M169" s="89">
        <v>432.16</v>
      </c>
      <c r="N169" s="90">
        <v>453.79</v>
      </c>
      <c r="O169" s="87">
        <v>476.42</v>
      </c>
      <c r="P169" s="88">
        <v>500.3</v>
      </c>
      <c r="Q169" s="87">
        <v>525.32000000000005</v>
      </c>
      <c r="R169" s="88">
        <v>551.59</v>
      </c>
      <c r="S169" s="89">
        <v>579.16</v>
      </c>
      <c r="T169" s="45">
        <v>608.12</v>
      </c>
      <c r="U169" s="43">
        <v>638.52599999999995</v>
      </c>
      <c r="V169" s="42">
        <v>670.45229999999992</v>
      </c>
      <c r="W169" s="43">
        <v>703.9749149999999</v>
      </c>
      <c r="X169" s="42">
        <v>739.17366074999984</v>
      </c>
      <c r="Y169" s="43">
        <v>775.14</v>
      </c>
      <c r="Z169" s="44">
        <v>814.9389609768748</v>
      </c>
    </row>
    <row r="170" spans="1:26" x14ac:dyDescent="0.2">
      <c r="A170" s="96">
        <v>39814</v>
      </c>
      <c r="B170" s="100">
        <v>366.44</v>
      </c>
      <c r="C170" s="101">
        <v>368.28</v>
      </c>
      <c r="D170" s="102">
        <v>370.11</v>
      </c>
      <c r="E170" s="101">
        <v>371.96</v>
      </c>
      <c r="F170" s="102">
        <v>373.82</v>
      </c>
      <c r="G170" s="103">
        <v>375.69</v>
      </c>
      <c r="H170" s="100">
        <v>377.57</v>
      </c>
      <c r="I170" s="101">
        <v>379.45</v>
      </c>
      <c r="J170" s="102">
        <v>381.35</v>
      </c>
      <c r="K170" s="101">
        <v>392.01</v>
      </c>
      <c r="L170" s="102">
        <v>411.6</v>
      </c>
      <c r="M170" s="103">
        <v>432.16</v>
      </c>
      <c r="N170" s="100">
        <v>453.79</v>
      </c>
      <c r="O170" s="101">
        <v>476.42</v>
      </c>
      <c r="P170" s="102">
        <v>500.3</v>
      </c>
      <c r="Q170" s="101">
        <v>525.32000000000005</v>
      </c>
      <c r="R170" s="102">
        <v>551.59</v>
      </c>
      <c r="S170" s="103">
        <v>579.16</v>
      </c>
      <c r="T170" s="104">
        <v>608.12</v>
      </c>
      <c r="U170" s="105">
        <v>638.52599999999995</v>
      </c>
      <c r="V170" s="106">
        <v>670.45229999999992</v>
      </c>
      <c r="W170" s="105">
        <v>703.9749149999999</v>
      </c>
      <c r="X170" s="106">
        <v>739.17366074999984</v>
      </c>
      <c r="Y170" s="105">
        <v>775.14</v>
      </c>
      <c r="Z170" s="107">
        <v>814.9389609768748</v>
      </c>
    </row>
    <row r="171" spans="1:26" x14ac:dyDescent="0.2">
      <c r="A171" s="96">
        <v>39845</v>
      </c>
      <c r="B171" s="82">
        <v>366.44</v>
      </c>
      <c r="C171" s="28">
        <v>368.28</v>
      </c>
      <c r="D171" s="80">
        <v>370.11</v>
      </c>
      <c r="E171" s="28">
        <v>371.96</v>
      </c>
      <c r="F171" s="80">
        <v>373.82</v>
      </c>
      <c r="G171" s="81">
        <v>375.69</v>
      </c>
      <c r="H171" s="82">
        <v>377.57</v>
      </c>
      <c r="I171" s="28">
        <v>379.45</v>
      </c>
      <c r="J171" s="80">
        <v>381.35</v>
      </c>
      <c r="K171" s="28">
        <v>392.01</v>
      </c>
      <c r="L171" s="80">
        <v>411.6</v>
      </c>
      <c r="M171" s="81">
        <v>432.16</v>
      </c>
      <c r="N171" s="82">
        <v>453.79</v>
      </c>
      <c r="O171" s="28">
        <v>476.42</v>
      </c>
      <c r="P171" s="80">
        <v>500.3</v>
      </c>
      <c r="Q171" s="28">
        <v>525.32000000000005</v>
      </c>
      <c r="R171" s="80">
        <v>551.59</v>
      </c>
      <c r="S171" s="81">
        <v>579.16</v>
      </c>
      <c r="T171" s="33">
        <v>608.12</v>
      </c>
      <c r="U171" s="34">
        <v>638.52599999999995</v>
      </c>
      <c r="V171" s="35">
        <v>670.45229999999992</v>
      </c>
      <c r="W171" s="34">
        <v>703.9749149999999</v>
      </c>
      <c r="X171" s="35">
        <v>739.17366074999984</v>
      </c>
      <c r="Y171" s="34">
        <v>775.14</v>
      </c>
      <c r="Z171" s="36">
        <v>814.9389609768748</v>
      </c>
    </row>
    <row r="172" spans="1:26" x14ac:dyDescent="0.2">
      <c r="A172" s="96">
        <v>39873</v>
      </c>
      <c r="B172" s="82">
        <v>388.06</v>
      </c>
      <c r="C172" s="28">
        <v>390.01</v>
      </c>
      <c r="D172" s="80">
        <v>391.95</v>
      </c>
      <c r="E172" s="28">
        <v>393.91</v>
      </c>
      <c r="F172" s="80">
        <v>395.88</v>
      </c>
      <c r="G172" s="81">
        <v>397.86</v>
      </c>
      <c r="H172" s="82">
        <v>399.85</v>
      </c>
      <c r="I172" s="28">
        <v>401.84</v>
      </c>
      <c r="J172" s="80">
        <v>403.85</v>
      </c>
      <c r="K172" s="28">
        <v>415.15</v>
      </c>
      <c r="L172" s="80">
        <v>435.88</v>
      </c>
      <c r="M172" s="81">
        <v>457.68</v>
      </c>
      <c r="N172" s="82">
        <v>480.56</v>
      </c>
      <c r="O172" s="28">
        <v>504.59</v>
      </c>
      <c r="P172" s="80">
        <v>529.82000000000005</v>
      </c>
      <c r="Q172" s="28">
        <v>556.30999999999995</v>
      </c>
      <c r="R172" s="80">
        <v>584.13</v>
      </c>
      <c r="S172" s="81">
        <v>613.33000000000004</v>
      </c>
      <c r="T172" s="33">
        <v>644</v>
      </c>
      <c r="U172" s="34">
        <v>676.2</v>
      </c>
      <c r="V172" s="35">
        <v>710.01</v>
      </c>
      <c r="W172" s="34">
        <v>745.51049999999998</v>
      </c>
      <c r="X172" s="35">
        <v>782.786025</v>
      </c>
      <c r="Y172" s="34">
        <v>821.92532625000001</v>
      </c>
      <c r="Z172" s="36">
        <v>863.02159256250002</v>
      </c>
    </row>
    <row r="173" spans="1:26" x14ac:dyDescent="0.2">
      <c r="A173" s="96">
        <v>39904</v>
      </c>
      <c r="B173" s="82">
        <v>388.06</v>
      </c>
      <c r="C173" s="28">
        <v>390.01</v>
      </c>
      <c r="D173" s="80">
        <v>391.95</v>
      </c>
      <c r="E173" s="28">
        <v>393.91</v>
      </c>
      <c r="F173" s="80">
        <v>395.88</v>
      </c>
      <c r="G173" s="81">
        <v>397.86</v>
      </c>
      <c r="H173" s="82">
        <v>399.85</v>
      </c>
      <c r="I173" s="28">
        <v>401.84</v>
      </c>
      <c r="J173" s="80">
        <v>403.85</v>
      </c>
      <c r="K173" s="28">
        <v>415.15</v>
      </c>
      <c r="L173" s="80">
        <v>435.88</v>
      </c>
      <c r="M173" s="81">
        <v>457.68</v>
      </c>
      <c r="N173" s="82">
        <v>480.56</v>
      </c>
      <c r="O173" s="28">
        <v>504.59</v>
      </c>
      <c r="P173" s="80">
        <v>529.82000000000005</v>
      </c>
      <c r="Q173" s="28">
        <v>556.30999999999995</v>
      </c>
      <c r="R173" s="80">
        <v>584.13</v>
      </c>
      <c r="S173" s="81">
        <v>613.33000000000004</v>
      </c>
      <c r="T173" s="33">
        <v>644</v>
      </c>
      <c r="U173" s="34">
        <v>676.2</v>
      </c>
      <c r="V173" s="35">
        <v>710.01</v>
      </c>
      <c r="W173" s="34">
        <v>745.51049999999998</v>
      </c>
      <c r="X173" s="35">
        <v>782.786025</v>
      </c>
      <c r="Y173" s="34">
        <v>821.92532625000001</v>
      </c>
      <c r="Z173" s="36">
        <v>863.02159256250002</v>
      </c>
    </row>
    <row r="174" spans="1:26" x14ac:dyDescent="0.2">
      <c r="A174" s="96">
        <v>39934</v>
      </c>
      <c r="B174" s="82">
        <v>388.06</v>
      </c>
      <c r="C174" s="28">
        <v>390.01</v>
      </c>
      <c r="D174" s="80">
        <v>391.95</v>
      </c>
      <c r="E174" s="28">
        <v>393.91</v>
      </c>
      <c r="F174" s="80">
        <v>395.88</v>
      </c>
      <c r="G174" s="81">
        <v>397.86</v>
      </c>
      <c r="H174" s="82">
        <v>399.85</v>
      </c>
      <c r="I174" s="28">
        <v>401.84</v>
      </c>
      <c r="J174" s="80">
        <v>403.85</v>
      </c>
      <c r="K174" s="28">
        <v>415.15</v>
      </c>
      <c r="L174" s="80">
        <v>435.88</v>
      </c>
      <c r="M174" s="81">
        <v>457.68</v>
      </c>
      <c r="N174" s="82">
        <v>480.56</v>
      </c>
      <c r="O174" s="28">
        <v>504.59</v>
      </c>
      <c r="P174" s="80">
        <v>529.82000000000005</v>
      </c>
      <c r="Q174" s="28">
        <v>556.30999999999995</v>
      </c>
      <c r="R174" s="80">
        <v>584.13</v>
      </c>
      <c r="S174" s="81">
        <v>613.33000000000004</v>
      </c>
      <c r="T174" s="33">
        <v>644</v>
      </c>
      <c r="U174" s="34">
        <v>676.2</v>
      </c>
      <c r="V174" s="35">
        <v>710.01</v>
      </c>
      <c r="W174" s="34">
        <v>745.51049999999998</v>
      </c>
      <c r="X174" s="35">
        <v>782.786025</v>
      </c>
      <c r="Y174" s="34">
        <v>821.92532625000001</v>
      </c>
      <c r="Z174" s="36">
        <v>863.02159256250002</v>
      </c>
    </row>
    <row r="175" spans="1:26" x14ac:dyDescent="0.2">
      <c r="A175" s="96">
        <v>39965</v>
      </c>
      <c r="B175" s="82">
        <v>388.06</v>
      </c>
      <c r="C175" s="28">
        <v>390.01</v>
      </c>
      <c r="D175" s="80">
        <v>391.95</v>
      </c>
      <c r="E175" s="28">
        <v>393.91</v>
      </c>
      <c r="F175" s="80">
        <v>395.88</v>
      </c>
      <c r="G175" s="81">
        <v>397.86</v>
      </c>
      <c r="H175" s="82">
        <v>399.85</v>
      </c>
      <c r="I175" s="28">
        <v>401.84</v>
      </c>
      <c r="J175" s="80">
        <v>403.85</v>
      </c>
      <c r="K175" s="28">
        <v>415.15</v>
      </c>
      <c r="L175" s="80">
        <v>435.88</v>
      </c>
      <c r="M175" s="81">
        <v>457.68</v>
      </c>
      <c r="N175" s="82">
        <v>480.56</v>
      </c>
      <c r="O175" s="28">
        <v>504.59</v>
      </c>
      <c r="P175" s="80">
        <v>529.82000000000005</v>
      </c>
      <c r="Q175" s="28">
        <v>556.30999999999995</v>
      </c>
      <c r="R175" s="80">
        <v>584.13</v>
      </c>
      <c r="S175" s="81">
        <v>613.33000000000004</v>
      </c>
      <c r="T175" s="33">
        <v>644</v>
      </c>
      <c r="U175" s="34">
        <v>676.2</v>
      </c>
      <c r="V175" s="35">
        <v>710.01</v>
      </c>
      <c r="W175" s="34">
        <v>745.51049999999998</v>
      </c>
      <c r="X175" s="35">
        <v>782.786025</v>
      </c>
      <c r="Y175" s="34">
        <v>821.92532625000001</v>
      </c>
      <c r="Z175" s="36">
        <v>863.02159256250002</v>
      </c>
    </row>
    <row r="176" spans="1:26" x14ac:dyDescent="0.2">
      <c r="A176" s="96">
        <v>39995</v>
      </c>
      <c r="B176" s="82">
        <v>388.06</v>
      </c>
      <c r="C176" s="28">
        <v>390.01</v>
      </c>
      <c r="D176" s="80">
        <v>391.95</v>
      </c>
      <c r="E176" s="28">
        <v>393.91</v>
      </c>
      <c r="F176" s="80">
        <v>395.88</v>
      </c>
      <c r="G176" s="81">
        <v>397.86</v>
      </c>
      <c r="H176" s="82">
        <v>399.85</v>
      </c>
      <c r="I176" s="28">
        <v>401.84</v>
      </c>
      <c r="J176" s="80">
        <v>403.85</v>
      </c>
      <c r="K176" s="28">
        <v>415.15</v>
      </c>
      <c r="L176" s="80">
        <v>435.88</v>
      </c>
      <c r="M176" s="81">
        <v>457.68</v>
      </c>
      <c r="N176" s="82">
        <v>480.56</v>
      </c>
      <c r="O176" s="28">
        <v>504.59</v>
      </c>
      <c r="P176" s="80">
        <v>529.82000000000005</v>
      </c>
      <c r="Q176" s="28">
        <v>556.30999999999995</v>
      </c>
      <c r="R176" s="80">
        <v>584.13</v>
      </c>
      <c r="S176" s="81">
        <v>613.33000000000004</v>
      </c>
      <c r="T176" s="33">
        <v>644</v>
      </c>
      <c r="U176" s="34">
        <v>676.2</v>
      </c>
      <c r="V176" s="35">
        <v>710.01</v>
      </c>
      <c r="W176" s="34">
        <v>745.51049999999998</v>
      </c>
      <c r="X176" s="35">
        <v>782.786025</v>
      </c>
      <c r="Y176" s="34">
        <v>821.92532625000001</v>
      </c>
      <c r="Z176" s="36">
        <v>863.02159256250002</v>
      </c>
    </row>
    <row r="177" spans="1:26" x14ac:dyDescent="0.2">
      <c r="A177" s="96">
        <v>40026</v>
      </c>
      <c r="B177" s="82">
        <v>388.06</v>
      </c>
      <c r="C177" s="28">
        <v>390.01</v>
      </c>
      <c r="D177" s="80">
        <v>391.95</v>
      </c>
      <c r="E177" s="28">
        <v>393.91</v>
      </c>
      <c r="F177" s="80">
        <v>395.88</v>
      </c>
      <c r="G177" s="81">
        <v>397.86</v>
      </c>
      <c r="H177" s="82">
        <v>399.85</v>
      </c>
      <c r="I177" s="28">
        <v>401.84</v>
      </c>
      <c r="J177" s="80">
        <v>403.85</v>
      </c>
      <c r="K177" s="28">
        <v>415.15</v>
      </c>
      <c r="L177" s="80">
        <v>435.88</v>
      </c>
      <c r="M177" s="81">
        <v>457.68</v>
      </c>
      <c r="N177" s="82">
        <v>480.56</v>
      </c>
      <c r="O177" s="28">
        <v>504.59</v>
      </c>
      <c r="P177" s="80">
        <v>529.82000000000005</v>
      </c>
      <c r="Q177" s="28">
        <v>556.30999999999995</v>
      </c>
      <c r="R177" s="80">
        <v>584.13</v>
      </c>
      <c r="S177" s="81">
        <v>613.33000000000004</v>
      </c>
      <c r="T177" s="33">
        <v>644</v>
      </c>
      <c r="U177" s="34">
        <v>676.2</v>
      </c>
      <c r="V177" s="35">
        <v>710.01</v>
      </c>
      <c r="W177" s="34">
        <v>745.51049999999998</v>
      </c>
      <c r="X177" s="35">
        <v>782.786025</v>
      </c>
      <c r="Y177" s="34">
        <v>821.92532625000001</v>
      </c>
      <c r="Z177" s="36">
        <v>863.02159256250002</v>
      </c>
    </row>
    <row r="178" spans="1:26" x14ac:dyDescent="0.2">
      <c r="A178" s="96">
        <v>40057</v>
      </c>
      <c r="B178" s="82">
        <v>388.06</v>
      </c>
      <c r="C178" s="28">
        <v>390.01</v>
      </c>
      <c r="D178" s="80">
        <v>391.95</v>
      </c>
      <c r="E178" s="28">
        <v>393.91</v>
      </c>
      <c r="F178" s="80">
        <v>395.88</v>
      </c>
      <c r="G178" s="81">
        <v>397.86</v>
      </c>
      <c r="H178" s="82">
        <v>399.85</v>
      </c>
      <c r="I178" s="28">
        <v>401.84</v>
      </c>
      <c r="J178" s="80">
        <v>403.85</v>
      </c>
      <c r="K178" s="28">
        <v>415.15</v>
      </c>
      <c r="L178" s="80">
        <v>435.88</v>
      </c>
      <c r="M178" s="81">
        <v>457.68</v>
      </c>
      <c r="N178" s="82">
        <v>480.56</v>
      </c>
      <c r="O178" s="28">
        <v>504.59</v>
      </c>
      <c r="P178" s="80">
        <v>529.82000000000005</v>
      </c>
      <c r="Q178" s="28">
        <v>556.30999999999995</v>
      </c>
      <c r="R178" s="80">
        <v>584.13</v>
      </c>
      <c r="S178" s="81">
        <v>613.33000000000004</v>
      </c>
      <c r="T178" s="33">
        <v>644</v>
      </c>
      <c r="U178" s="34">
        <v>676.2</v>
      </c>
      <c r="V178" s="35">
        <v>710.01</v>
      </c>
      <c r="W178" s="34">
        <v>745.51049999999998</v>
      </c>
      <c r="X178" s="35">
        <v>782.786025</v>
      </c>
      <c r="Y178" s="34">
        <v>821.92532625000001</v>
      </c>
      <c r="Z178" s="36">
        <v>863.02159256250002</v>
      </c>
    </row>
    <row r="179" spans="1:26" x14ac:dyDescent="0.2">
      <c r="A179" s="96">
        <v>40087</v>
      </c>
      <c r="B179" s="82">
        <v>419.1</v>
      </c>
      <c r="C179" s="28">
        <v>421.21</v>
      </c>
      <c r="D179" s="80">
        <v>423.31</v>
      </c>
      <c r="E179" s="28">
        <v>425.42</v>
      </c>
      <c r="F179" s="80">
        <v>427.55</v>
      </c>
      <c r="G179" s="81">
        <v>429.69</v>
      </c>
      <c r="H179" s="82">
        <v>431.84</v>
      </c>
      <c r="I179" s="28">
        <v>433.99</v>
      </c>
      <c r="J179" s="80">
        <v>436.16</v>
      </c>
      <c r="K179" s="28">
        <v>448.35</v>
      </c>
      <c r="L179" s="80">
        <v>470.75</v>
      </c>
      <c r="M179" s="81">
        <v>494.29</v>
      </c>
      <c r="N179" s="82">
        <v>519</v>
      </c>
      <c r="O179" s="28">
        <v>544.96</v>
      </c>
      <c r="P179" s="80">
        <v>572.21</v>
      </c>
      <c r="Q179" s="28">
        <v>600.80999999999995</v>
      </c>
      <c r="R179" s="80">
        <v>630.86</v>
      </c>
      <c r="S179" s="81">
        <v>662.4</v>
      </c>
      <c r="T179" s="33">
        <v>695.52</v>
      </c>
      <c r="U179" s="34">
        <v>730.29599999999994</v>
      </c>
      <c r="V179" s="35">
        <v>766.82</v>
      </c>
      <c r="W179" s="34">
        <v>805.15134</v>
      </c>
      <c r="X179" s="35">
        <v>845.408907</v>
      </c>
      <c r="Y179" s="34">
        <v>887.67935235000004</v>
      </c>
      <c r="Z179" s="36">
        <v>932.06331996750009</v>
      </c>
    </row>
    <row r="180" spans="1:26" x14ac:dyDescent="0.2">
      <c r="A180" s="96">
        <v>40118</v>
      </c>
      <c r="B180" s="82">
        <v>419.1</v>
      </c>
      <c r="C180" s="28">
        <v>421.21</v>
      </c>
      <c r="D180" s="80">
        <v>423.31</v>
      </c>
      <c r="E180" s="28">
        <v>425.42</v>
      </c>
      <c r="F180" s="80">
        <v>427.55</v>
      </c>
      <c r="G180" s="81">
        <v>429.69</v>
      </c>
      <c r="H180" s="82">
        <v>431.84</v>
      </c>
      <c r="I180" s="28">
        <v>433.99</v>
      </c>
      <c r="J180" s="80">
        <v>436.16</v>
      </c>
      <c r="K180" s="28">
        <v>448.35</v>
      </c>
      <c r="L180" s="80">
        <v>470.75</v>
      </c>
      <c r="M180" s="81">
        <v>494.29</v>
      </c>
      <c r="N180" s="82">
        <v>519</v>
      </c>
      <c r="O180" s="28">
        <v>544.96</v>
      </c>
      <c r="P180" s="80">
        <v>572.21</v>
      </c>
      <c r="Q180" s="28">
        <v>600.80999999999995</v>
      </c>
      <c r="R180" s="80">
        <v>630.86</v>
      </c>
      <c r="S180" s="81">
        <v>662.4</v>
      </c>
      <c r="T180" s="33">
        <v>695.52</v>
      </c>
      <c r="U180" s="34">
        <v>730.29599999999994</v>
      </c>
      <c r="V180" s="35">
        <v>766.82</v>
      </c>
      <c r="W180" s="34">
        <v>805.15134</v>
      </c>
      <c r="X180" s="35">
        <v>845.408907</v>
      </c>
      <c r="Y180" s="34">
        <v>887.67935235000004</v>
      </c>
      <c r="Z180" s="36">
        <v>932.06331996750009</v>
      </c>
    </row>
    <row r="181" spans="1:26" ht="13.5" thickBot="1" x14ac:dyDescent="0.25">
      <c r="A181" s="96">
        <v>40148</v>
      </c>
      <c r="B181" s="90">
        <v>419.1</v>
      </c>
      <c r="C181" s="87">
        <v>421.21</v>
      </c>
      <c r="D181" s="88">
        <v>423.31</v>
      </c>
      <c r="E181" s="87">
        <v>425.42</v>
      </c>
      <c r="F181" s="88">
        <v>427.55</v>
      </c>
      <c r="G181" s="89">
        <v>429.69</v>
      </c>
      <c r="H181" s="90">
        <v>431.84</v>
      </c>
      <c r="I181" s="87">
        <v>433.99</v>
      </c>
      <c r="J181" s="88">
        <v>436.16</v>
      </c>
      <c r="K181" s="87">
        <v>448.35</v>
      </c>
      <c r="L181" s="88">
        <v>470.75</v>
      </c>
      <c r="M181" s="89">
        <v>494.29</v>
      </c>
      <c r="N181" s="90">
        <v>519</v>
      </c>
      <c r="O181" s="87">
        <v>544.96</v>
      </c>
      <c r="P181" s="88">
        <v>572.21</v>
      </c>
      <c r="Q181" s="87">
        <v>600.80999999999995</v>
      </c>
      <c r="R181" s="88">
        <v>630.86</v>
      </c>
      <c r="S181" s="89">
        <v>662.4</v>
      </c>
      <c r="T181" s="45">
        <v>695.52</v>
      </c>
      <c r="U181" s="43">
        <v>730.29599999999994</v>
      </c>
      <c r="V181" s="42">
        <v>766.82</v>
      </c>
      <c r="W181" s="43">
        <v>805.15134</v>
      </c>
      <c r="X181" s="42">
        <v>845.408907</v>
      </c>
      <c r="Y181" s="43">
        <v>887.67935235000004</v>
      </c>
      <c r="Z181" s="44">
        <v>932.06331996750009</v>
      </c>
    </row>
    <row r="182" spans="1:26" x14ac:dyDescent="0.2">
      <c r="A182" s="96">
        <v>40179</v>
      </c>
      <c r="B182" s="100">
        <v>427.48</v>
      </c>
      <c r="C182" s="101">
        <v>429.63</v>
      </c>
      <c r="D182" s="102">
        <v>431.78</v>
      </c>
      <c r="E182" s="101">
        <v>433.93</v>
      </c>
      <c r="F182" s="102">
        <v>436.1</v>
      </c>
      <c r="G182" s="103">
        <v>438.28</v>
      </c>
      <c r="H182" s="100">
        <v>440.48</v>
      </c>
      <c r="I182" s="101">
        <v>442.67</v>
      </c>
      <c r="J182" s="102">
        <v>444.88</v>
      </c>
      <c r="K182" s="101">
        <v>457.32</v>
      </c>
      <c r="L182" s="102">
        <v>480.17</v>
      </c>
      <c r="M182" s="103">
        <v>504.18</v>
      </c>
      <c r="N182" s="100">
        <v>529.38</v>
      </c>
      <c r="O182" s="101">
        <v>555.86</v>
      </c>
      <c r="P182" s="102">
        <v>583.65</v>
      </c>
      <c r="Q182" s="101">
        <v>612.83000000000004</v>
      </c>
      <c r="R182" s="102">
        <v>643.48</v>
      </c>
      <c r="S182" s="103">
        <v>675.65</v>
      </c>
      <c r="T182" s="104">
        <v>709.43</v>
      </c>
      <c r="U182" s="105">
        <v>744.90149999999994</v>
      </c>
      <c r="V182" s="106">
        <v>782.14657499999998</v>
      </c>
      <c r="W182" s="105">
        <v>821.25390374999995</v>
      </c>
      <c r="X182" s="106">
        <v>862.31659893749998</v>
      </c>
      <c r="Y182" s="105">
        <v>905.43242888437499</v>
      </c>
      <c r="Z182" s="107">
        <v>950.70405032859378</v>
      </c>
    </row>
    <row r="183" spans="1:26" x14ac:dyDescent="0.2">
      <c r="A183" s="96">
        <v>40210</v>
      </c>
      <c r="B183" s="82">
        <v>427.48</v>
      </c>
      <c r="C183" s="28">
        <v>429.63</v>
      </c>
      <c r="D183" s="80">
        <v>431.78</v>
      </c>
      <c r="E183" s="28">
        <v>433.93</v>
      </c>
      <c r="F183" s="80">
        <v>436.1</v>
      </c>
      <c r="G183" s="81">
        <v>438.28</v>
      </c>
      <c r="H183" s="82">
        <v>440.48</v>
      </c>
      <c r="I183" s="28">
        <v>442.67</v>
      </c>
      <c r="J183" s="80">
        <v>444.88</v>
      </c>
      <c r="K183" s="28">
        <v>457.32</v>
      </c>
      <c r="L183" s="80">
        <v>480.17</v>
      </c>
      <c r="M183" s="81">
        <v>504.18</v>
      </c>
      <c r="N183" s="82">
        <v>529.38</v>
      </c>
      <c r="O183" s="28">
        <v>555.86</v>
      </c>
      <c r="P183" s="80">
        <v>583.65</v>
      </c>
      <c r="Q183" s="28">
        <v>612.83000000000004</v>
      </c>
      <c r="R183" s="80">
        <v>643.48</v>
      </c>
      <c r="S183" s="81">
        <v>675.65</v>
      </c>
      <c r="T183" s="33">
        <v>709.43</v>
      </c>
      <c r="U183" s="34">
        <v>744.90149999999994</v>
      </c>
      <c r="V183" s="35">
        <v>782.14657499999998</v>
      </c>
      <c r="W183" s="34">
        <v>821.25390374999995</v>
      </c>
      <c r="X183" s="35">
        <v>862.31659893749998</v>
      </c>
      <c r="Y183" s="34">
        <v>905.43242888437499</v>
      </c>
      <c r="Z183" s="36">
        <v>950.70405032859378</v>
      </c>
    </row>
    <row r="184" spans="1:26" x14ac:dyDescent="0.2">
      <c r="A184" s="96">
        <v>40238</v>
      </c>
      <c r="B184" s="82">
        <v>427.48</v>
      </c>
      <c r="C184" s="28">
        <v>429.63</v>
      </c>
      <c r="D184" s="80">
        <v>431.78</v>
      </c>
      <c r="E184" s="28">
        <v>433.93</v>
      </c>
      <c r="F184" s="80">
        <v>436.1</v>
      </c>
      <c r="G184" s="81">
        <v>438.28</v>
      </c>
      <c r="H184" s="82">
        <v>440.48</v>
      </c>
      <c r="I184" s="28">
        <v>442.67</v>
      </c>
      <c r="J184" s="80">
        <v>444.88</v>
      </c>
      <c r="K184" s="28">
        <v>457.32</v>
      </c>
      <c r="L184" s="80">
        <v>480.17</v>
      </c>
      <c r="M184" s="81">
        <v>504.18</v>
      </c>
      <c r="N184" s="82">
        <v>529.38</v>
      </c>
      <c r="O184" s="28">
        <v>555.86</v>
      </c>
      <c r="P184" s="80">
        <v>583.65</v>
      </c>
      <c r="Q184" s="28">
        <v>612.83000000000004</v>
      </c>
      <c r="R184" s="80">
        <v>643.48</v>
      </c>
      <c r="S184" s="81">
        <v>675.65</v>
      </c>
      <c r="T184" s="33">
        <v>709.43</v>
      </c>
      <c r="U184" s="34">
        <v>744.90149999999994</v>
      </c>
      <c r="V184" s="35">
        <v>782.14657499999998</v>
      </c>
      <c r="W184" s="34">
        <v>821.25390374999995</v>
      </c>
      <c r="X184" s="35">
        <v>862.31659893749998</v>
      </c>
      <c r="Y184" s="34">
        <v>905.43242888437499</v>
      </c>
      <c r="Z184" s="36">
        <v>950.70405032859378</v>
      </c>
    </row>
    <row r="185" spans="1:26" x14ac:dyDescent="0.2">
      <c r="A185" s="96">
        <v>40269</v>
      </c>
      <c r="B185" s="82">
        <v>427.48</v>
      </c>
      <c r="C185" s="28">
        <v>429.63</v>
      </c>
      <c r="D185" s="80">
        <v>431.78</v>
      </c>
      <c r="E185" s="28">
        <v>433.93</v>
      </c>
      <c r="F185" s="80">
        <v>436.1</v>
      </c>
      <c r="G185" s="81">
        <v>438.28</v>
      </c>
      <c r="H185" s="82">
        <v>440.48</v>
      </c>
      <c r="I185" s="28">
        <v>442.67</v>
      </c>
      <c r="J185" s="80">
        <v>444.88</v>
      </c>
      <c r="K185" s="28">
        <v>457.32</v>
      </c>
      <c r="L185" s="80">
        <v>480.17</v>
      </c>
      <c r="M185" s="81">
        <v>504.18</v>
      </c>
      <c r="N185" s="82">
        <v>529.38</v>
      </c>
      <c r="O185" s="28">
        <v>555.86</v>
      </c>
      <c r="P185" s="80">
        <v>583.65</v>
      </c>
      <c r="Q185" s="28">
        <v>612.83000000000004</v>
      </c>
      <c r="R185" s="80">
        <v>643.48</v>
      </c>
      <c r="S185" s="81">
        <v>675.65</v>
      </c>
      <c r="T185" s="33">
        <v>709.43</v>
      </c>
      <c r="U185" s="34">
        <v>744.90149999999994</v>
      </c>
      <c r="V185" s="35">
        <v>782.14657499999998</v>
      </c>
      <c r="W185" s="34">
        <v>821.25390374999995</v>
      </c>
      <c r="X185" s="35">
        <v>862.31659893749998</v>
      </c>
      <c r="Y185" s="34">
        <v>905.43242888437499</v>
      </c>
      <c r="Z185" s="36">
        <v>950.70405032859378</v>
      </c>
    </row>
    <row r="186" spans="1:26" x14ac:dyDescent="0.2">
      <c r="A186" s="96">
        <v>40299</v>
      </c>
      <c r="B186" s="82">
        <v>427.48</v>
      </c>
      <c r="C186" s="28">
        <v>429.63</v>
      </c>
      <c r="D186" s="80">
        <v>431.78</v>
      </c>
      <c r="E186" s="28">
        <v>433.93</v>
      </c>
      <c r="F186" s="80">
        <v>436.1</v>
      </c>
      <c r="G186" s="81">
        <v>438.28</v>
      </c>
      <c r="H186" s="82">
        <v>440.48</v>
      </c>
      <c r="I186" s="28">
        <v>442.67</v>
      </c>
      <c r="J186" s="80">
        <v>444.88</v>
      </c>
      <c r="K186" s="28">
        <v>457.32</v>
      </c>
      <c r="L186" s="80">
        <v>480.17</v>
      </c>
      <c r="M186" s="81">
        <v>504.18</v>
      </c>
      <c r="N186" s="82">
        <v>529.38</v>
      </c>
      <c r="O186" s="28">
        <v>555.86</v>
      </c>
      <c r="P186" s="80">
        <v>583.65</v>
      </c>
      <c r="Q186" s="28">
        <v>612.83000000000004</v>
      </c>
      <c r="R186" s="80">
        <v>643.48</v>
      </c>
      <c r="S186" s="81">
        <v>675.65</v>
      </c>
      <c r="T186" s="33">
        <v>709.43</v>
      </c>
      <c r="U186" s="34">
        <v>744.90149999999994</v>
      </c>
      <c r="V186" s="35">
        <v>782.14657499999998</v>
      </c>
      <c r="W186" s="34">
        <v>821.25390374999995</v>
      </c>
      <c r="X186" s="35">
        <v>862.31659893749998</v>
      </c>
      <c r="Y186" s="34">
        <v>905.43242888437499</v>
      </c>
      <c r="Z186" s="36">
        <v>950.70405032859378</v>
      </c>
    </row>
    <row r="187" spans="1:26" x14ac:dyDescent="0.2">
      <c r="A187" s="96">
        <v>40330</v>
      </c>
      <c r="B187" s="82">
        <v>427.48</v>
      </c>
      <c r="C187" s="28">
        <v>429.63</v>
      </c>
      <c r="D187" s="80">
        <v>431.78</v>
      </c>
      <c r="E187" s="28">
        <v>433.93</v>
      </c>
      <c r="F187" s="80">
        <v>436.1</v>
      </c>
      <c r="G187" s="81">
        <v>438.28</v>
      </c>
      <c r="H187" s="82">
        <v>440.48</v>
      </c>
      <c r="I187" s="28">
        <v>442.67</v>
      </c>
      <c r="J187" s="80">
        <v>444.88</v>
      </c>
      <c r="K187" s="28">
        <v>457.32</v>
      </c>
      <c r="L187" s="80">
        <v>480.17</v>
      </c>
      <c r="M187" s="81">
        <v>504.18</v>
      </c>
      <c r="N187" s="82">
        <v>529.38</v>
      </c>
      <c r="O187" s="28">
        <v>555.86</v>
      </c>
      <c r="P187" s="80">
        <v>583.65</v>
      </c>
      <c r="Q187" s="28">
        <v>612.83000000000004</v>
      </c>
      <c r="R187" s="80">
        <v>643.48</v>
      </c>
      <c r="S187" s="81">
        <v>675.65</v>
      </c>
      <c r="T187" s="33">
        <v>709.43</v>
      </c>
      <c r="U187" s="34">
        <v>744.90149999999994</v>
      </c>
      <c r="V187" s="35">
        <v>782.14657499999998</v>
      </c>
      <c r="W187" s="34">
        <v>821.25390374999995</v>
      </c>
      <c r="X187" s="35">
        <v>862.31659893749998</v>
      </c>
      <c r="Y187" s="34">
        <v>905.43242888437499</v>
      </c>
      <c r="Z187" s="36">
        <v>950.70405032859378</v>
      </c>
    </row>
    <row r="188" spans="1:26" x14ac:dyDescent="0.2">
      <c r="A188" s="96">
        <v>40360</v>
      </c>
      <c r="B188" s="82">
        <v>427.48</v>
      </c>
      <c r="C188" s="28">
        <v>429.63</v>
      </c>
      <c r="D188" s="80">
        <v>431.78</v>
      </c>
      <c r="E188" s="28">
        <v>433.93</v>
      </c>
      <c r="F188" s="80">
        <v>436.1</v>
      </c>
      <c r="G188" s="81">
        <v>438.28</v>
      </c>
      <c r="H188" s="82">
        <v>440.48</v>
      </c>
      <c r="I188" s="28">
        <v>442.67</v>
      </c>
      <c r="J188" s="80">
        <v>444.88</v>
      </c>
      <c r="K188" s="28">
        <v>457.32</v>
      </c>
      <c r="L188" s="80">
        <v>480.17</v>
      </c>
      <c r="M188" s="81">
        <v>504.18</v>
      </c>
      <c r="N188" s="82">
        <v>529.38</v>
      </c>
      <c r="O188" s="28">
        <v>555.86</v>
      </c>
      <c r="P188" s="80">
        <v>583.65</v>
      </c>
      <c r="Q188" s="28">
        <v>612.83000000000004</v>
      </c>
      <c r="R188" s="80">
        <v>643.48</v>
      </c>
      <c r="S188" s="81">
        <v>675.65</v>
      </c>
      <c r="T188" s="33">
        <v>709.43</v>
      </c>
      <c r="U188" s="34">
        <v>744.90149999999994</v>
      </c>
      <c r="V188" s="35">
        <v>782.14657499999998</v>
      </c>
      <c r="W188" s="34">
        <v>821.25390374999995</v>
      </c>
      <c r="X188" s="35">
        <v>862.31659893749998</v>
      </c>
      <c r="Y188" s="34">
        <v>905.43242888437499</v>
      </c>
      <c r="Z188" s="36">
        <v>950.70405032859378</v>
      </c>
    </row>
    <row r="189" spans="1:26" x14ac:dyDescent="0.2">
      <c r="A189" s="96">
        <v>40391</v>
      </c>
      <c r="B189" s="82">
        <v>427.48</v>
      </c>
      <c r="C189" s="28">
        <v>429.63</v>
      </c>
      <c r="D189" s="80">
        <v>431.78</v>
      </c>
      <c r="E189" s="28">
        <v>433.93</v>
      </c>
      <c r="F189" s="80">
        <v>436.1</v>
      </c>
      <c r="G189" s="81">
        <v>438.28</v>
      </c>
      <c r="H189" s="82">
        <v>440.48</v>
      </c>
      <c r="I189" s="28">
        <v>442.67</v>
      </c>
      <c r="J189" s="80">
        <v>444.88</v>
      </c>
      <c r="K189" s="28">
        <v>457.32</v>
      </c>
      <c r="L189" s="80">
        <v>480.17</v>
      </c>
      <c r="M189" s="81">
        <v>504.18</v>
      </c>
      <c r="N189" s="82">
        <v>529.38</v>
      </c>
      <c r="O189" s="28">
        <v>555.86</v>
      </c>
      <c r="P189" s="80">
        <v>583.65</v>
      </c>
      <c r="Q189" s="28">
        <v>612.83000000000004</v>
      </c>
      <c r="R189" s="80">
        <v>643.48</v>
      </c>
      <c r="S189" s="81">
        <v>675.65</v>
      </c>
      <c r="T189" s="33">
        <v>709.43</v>
      </c>
      <c r="U189" s="34">
        <v>744.90149999999994</v>
      </c>
      <c r="V189" s="35">
        <v>782.14657499999998</v>
      </c>
      <c r="W189" s="34">
        <v>821.25390374999995</v>
      </c>
      <c r="X189" s="35">
        <v>862.31659893749998</v>
      </c>
      <c r="Y189" s="34">
        <v>905.43242888437499</v>
      </c>
      <c r="Z189" s="36">
        <v>950.70405032859378</v>
      </c>
    </row>
    <row r="190" spans="1:26" x14ac:dyDescent="0.2">
      <c r="A190" s="96">
        <v>40422</v>
      </c>
      <c r="B190" s="82">
        <v>427.48</v>
      </c>
      <c r="C190" s="28">
        <v>429.63</v>
      </c>
      <c r="D190" s="80">
        <v>431.78</v>
      </c>
      <c r="E190" s="28">
        <v>433.93</v>
      </c>
      <c r="F190" s="80">
        <v>436.1</v>
      </c>
      <c r="G190" s="81">
        <v>438.28</v>
      </c>
      <c r="H190" s="82">
        <v>440.48</v>
      </c>
      <c r="I190" s="28">
        <v>442.67</v>
      </c>
      <c r="J190" s="80">
        <v>444.88</v>
      </c>
      <c r="K190" s="28">
        <v>457.32</v>
      </c>
      <c r="L190" s="80">
        <v>480.17</v>
      </c>
      <c r="M190" s="81">
        <v>504.18</v>
      </c>
      <c r="N190" s="82">
        <v>529.38</v>
      </c>
      <c r="O190" s="28">
        <v>555.86</v>
      </c>
      <c r="P190" s="80">
        <v>583.65</v>
      </c>
      <c r="Q190" s="28">
        <v>612.83000000000004</v>
      </c>
      <c r="R190" s="80">
        <v>643.48</v>
      </c>
      <c r="S190" s="81">
        <v>675.65</v>
      </c>
      <c r="T190" s="33">
        <v>709.43</v>
      </c>
      <c r="U190" s="34">
        <v>744.90149999999994</v>
      </c>
      <c r="V190" s="35">
        <v>782.14657499999998</v>
      </c>
      <c r="W190" s="34">
        <v>821.25390374999995</v>
      </c>
      <c r="X190" s="35">
        <v>862.31659893749998</v>
      </c>
      <c r="Y190" s="34">
        <v>905.43242888437499</v>
      </c>
      <c r="Z190" s="36">
        <v>950.70405032859378</v>
      </c>
    </row>
    <row r="191" spans="1:26" x14ac:dyDescent="0.2">
      <c r="A191" s="96">
        <v>40452</v>
      </c>
      <c r="B191" s="82">
        <v>427.48</v>
      </c>
      <c r="C191" s="28">
        <v>429.63</v>
      </c>
      <c r="D191" s="80">
        <v>431.78</v>
      </c>
      <c r="E191" s="28">
        <v>433.93</v>
      </c>
      <c r="F191" s="80">
        <v>436.1</v>
      </c>
      <c r="G191" s="81">
        <v>438.28</v>
      </c>
      <c r="H191" s="82">
        <v>440.48</v>
      </c>
      <c r="I191" s="28">
        <v>442.67</v>
      </c>
      <c r="J191" s="80">
        <v>444.88</v>
      </c>
      <c r="K191" s="28">
        <v>457.32</v>
      </c>
      <c r="L191" s="80">
        <v>480.17</v>
      </c>
      <c r="M191" s="81">
        <v>504.18</v>
      </c>
      <c r="N191" s="82">
        <v>529.38</v>
      </c>
      <c r="O191" s="28">
        <v>555.86</v>
      </c>
      <c r="P191" s="80">
        <v>583.65</v>
      </c>
      <c r="Q191" s="28">
        <v>612.83000000000004</v>
      </c>
      <c r="R191" s="80">
        <v>643.48</v>
      </c>
      <c r="S191" s="81">
        <v>675.65</v>
      </c>
      <c r="T191" s="33">
        <v>709.43</v>
      </c>
      <c r="U191" s="34">
        <v>744.90149999999994</v>
      </c>
      <c r="V191" s="35">
        <v>782.14657499999998</v>
      </c>
      <c r="W191" s="34">
        <v>821.25390374999995</v>
      </c>
      <c r="X191" s="35">
        <v>862.31659893749998</v>
      </c>
      <c r="Y191" s="34">
        <v>905.43242888437499</v>
      </c>
      <c r="Z191" s="36">
        <v>950.70405032859378</v>
      </c>
    </row>
    <row r="192" spans="1:26" x14ac:dyDescent="0.2">
      <c r="A192" s="96">
        <v>40483</v>
      </c>
      <c r="B192" s="82">
        <v>427.48</v>
      </c>
      <c r="C192" s="28">
        <v>429.63</v>
      </c>
      <c r="D192" s="80">
        <v>431.78</v>
      </c>
      <c r="E192" s="28">
        <v>433.93</v>
      </c>
      <c r="F192" s="80">
        <v>436.1</v>
      </c>
      <c r="G192" s="81">
        <v>438.28</v>
      </c>
      <c r="H192" s="82">
        <v>440.48</v>
      </c>
      <c r="I192" s="28">
        <v>442.67</v>
      </c>
      <c r="J192" s="80">
        <v>444.88</v>
      </c>
      <c r="K192" s="28">
        <v>457.32</v>
      </c>
      <c r="L192" s="80">
        <v>480.17</v>
      </c>
      <c r="M192" s="81">
        <v>504.18</v>
      </c>
      <c r="N192" s="82">
        <v>529.38</v>
      </c>
      <c r="O192" s="28">
        <v>555.86</v>
      </c>
      <c r="P192" s="80">
        <v>583.65</v>
      </c>
      <c r="Q192" s="28">
        <v>612.83000000000004</v>
      </c>
      <c r="R192" s="80">
        <v>643.48</v>
      </c>
      <c r="S192" s="81">
        <v>675.65</v>
      </c>
      <c r="T192" s="33">
        <v>709.43</v>
      </c>
      <c r="U192" s="34">
        <v>744.90149999999994</v>
      </c>
      <c r="V192" s="35">
        <v>782.14657499999998</v>
      </c>
      <c r="W192" s="34">
        <v>821.25390374999995</v>
      </c>
      <c r="X192" s="35">
        <v>862.31659893749998</v>
      </c>
      <c r="Y192" s="34">
        <v>905.43242888437499</v>
      </c>
      <c r="Z192" s="36">
        <v>950.70405032859378</v>
      </c>
    </row>
    <row r="193" spans="1:26" ht="13.5" thickBot="1" x14ac:dyDescent="0.25">
      <c r="A193" s="96">
        <v>40513</v>
      </c>
      <c r="B193" s="90">
        <v>427.48</v>
      </c>
      <c r="C193" s="87">
        <v>429.63</v>
      </c>
      <c r="D193" s="88">
        <v>431.78</v>
      </c>
      <c r="E193" s="87">
        <v>433.93</v>
      </c>
      <c r="F193" s="88">
        <v>436.1</v>
      </c>
      <c r="G193" s="89">
        <v>438.28</v>
      </c>
      <c r="H193" s="90">
        <v>440.48</v>
      </c>
      <c r="I193" s="87">
        <v>442.67</v>
      </c>
      <c r="J193" s="88">
        <v>444.88</v>
      </c>
      <c r="K193" s="87">
        <v>457.32</v>
      </c>
      <c r="L193" s="88">
        <v>480.17</v>
      </c>
      <c r="M193" s="89">
        <v>504.18</v>
      </c>
      <c r="N193" s="90">
        <v>529.38</v>
      </c>
      <c r="O193" s="87">
        <v>555.86</v>
      </c>
      <c r="P193" s="88">
        <v>583.65</v>
      </c>
      <c r="Q193" s="87">
        <v>612.83000000000004</v>
      </c>
      <c r="R193" s="88">
        <v>643.48</v>
      </c>
      <c r="S193" s="89">
        <v>675.65</v>
      </c>
      <c r="T193" s="45">
        <v>709.43</v>
      </c>
      <c r="U193" s="43">
        <v>744.90149999999994</v>
      </c>
      <c r="V193" s="42">
        <v>782.14657499999998</v>
      </c>
      <c r="W193" s="43">
        <v>821.25390374999995</v>
      </c>
      <c r="X193" s="42">
        <v>862.31659893749998</v>
      </c>
      <c r="Y193" s="43">
        <v>905.43242888437499</v>
      </c>
      <c r="Z193" s="44">
        <v>950.70405032859378</v>
      </c>
    </row>
    <row r="194" spans="1:26" x14ac:dyDescent="0.2">
      <c r="A194" s="96">
        <v>40544</v>
      </c>
      <c r="B194" s="100">
        <v>427.48</v>
      </c>
      <c r="C194" s="101">
        <v>429.63</v>
      </c>
      <c r="D194" s="102">
        <v>431.78</v>
      </c>
      <c r="E194" s="101">
        <v>433.93</v>
      </c>
      <c r="F194" s="102">
        <v>436.1</v>
      </c>
      <c r="G194" s="103">
        <v>438.28</v>
      </c>
      <c r="H194" s="100">
        <v>440.48</v>
      </c>
      <c r="I194" s="101">
        <v>442.67</v>
      </c>
      <c r="J194" s="102">
        <v>444.88</v>
      </c>
      <c r="K194" s="101">
        <v>457.32</v>
      </c>
      <c r="L194" s="102">
        <v>480.17</v>
      </c>
      <c r="M194" s="103">
        <v>504.18</v>
      </c>
      <c r="N194" s="100">
        <v>529.38</v>
      </c>
      <c r="O194" s="101">
        <v>555.86</v>
      </c>
      <c r="P194" s="102">
        <v>583.65</v>
      </c>
      <c r="Q194" s="101">
        <v>612.83000000000004</v>
      </c>
      <c r="R194" s="102">
        <v>643.48</v>
      </c>
      <c r="S194" s="103">
        <v>675.65</v>
      </c>
      <c r="T194" s="104">
        <v>709.43</v>
      </c>
      <c r="U194" s="105">
        <v>744.90149999999994</v>
      </c>
      <c r="V194" s="106">
        <v>782.14657499999998</v>
      </c>
      <c r="W194" s="105">
        <v>821.25390374999995</v>
      </c>
      <c r="X194" s="106">
        <v>862.31659893749998</v>
      </c>
      <c r="Y194" s="105">
        <v>905.43242888437499</v>
      </c>
      <c r="Z194" s="107">
        <v>950.70405032859378</v>
      </c>
    </row>
    <row r="195" spans="1:26" x14ac:dyDescent="0.2">
      <c r="A195" s="96">
        <v>40575</v>
      </c>
      <c r="B195" s="82">
        <v>427.48</v>
      </c>
      <c r="C195" s="28">
        <v>429.63</v>
      </c>
      <c r="D195" s="80">
        <v>431.78</v>
      </c>
      <c r="E195" s="28">
        <v>433.93</v>
      </c>
      <c r="F195" s="80">
        <v>436.1</v>
      </c>
      <c r="G195" s="81">
        <v>438.28</v>
      </c>
      <c r="H195" s="82">
        <v>440.48</v>
      </c>
      <c r="I195" s="28">
        <v>442.67</v>
      </c>
      <c r="J195" s="80">
        <v>444.88</v>
      </c>
      <c r="K195" s="28">
        <v>457.32</v>
      </c>
      <c r="L195" s="80">
        <v>480.17</v>
      </c>
      <c r="M195" s="81">
        <v>504.18</v>
      </c>
      <c r="N195" s="82">
        <v>529.38</v>
      </c>
      <c r="O195" s="28">
        <v>555.86</v>
      </c>
      <c r="P195" s="80">
        <v>583.65</v>
      </c>
      <c r="Q195" s="28">
        <v>612.83000000000004</v>
      </c>
      <c r="R195" s="80">
        <v>643.48</v>
      </c>
      <c r="S195" s="81">
        <v>675.65</v>
      </c>
      <c r="T195" s="33">
        <v>709.43</v>
      </c>
      <c r="U195" s="34">
        <v>744.90149999999994</v>
      </c>
      <c r="V195" s="35">
        <v>782.14657499999998</v>
      </c>
      <c r="W195" s="34">
        <v>821.25390374999995</v>
      </c>
      <c r="X195" s="35">
        <v>862.31659893749998</v>
      </c>
      <c r="Y195" s="34">
        <v>905.43242888437499</v>
      </c>
      <c r="Z195" s="36">
        <v>950.70405032859378</v>
      </c>
    </row>
    <row r="196" spans="1:26" x14ac:dyDescent="0.2">
      <c r="A196" s="96">
        <v>40603</v>
      </c>
      <c r="B196" s="82">
        <v>427.48</v>
      </c>
      <c r="C196" s="28">
        <v>429.63</v>
      </c>
      <c r="D196" s="80">
        <v>431.78</v>
      </c>
      <c r="E196" s="28">
        <v>433.93</v>
      </c>
      <c r="F196" s="80">
        <v>436.1</v>
      </c>
      <c r="G196" s="81">
        <v>438.28</v>
      </c>
      <c r="H196" s="82">
        <v>440.48</v>
      </c>
      <c r="I196" s="28">
        <v>442.67</v>
      </c>
      <c r="J196" s="80">
        <v>444.88</v>
      </c>
      <c r="K196" s="28">
        <v>457.32</v>
      </c>
      <c r="L196" s="80">
        <v>480.17</v>
      </c>
      <c r="M196" s="81">
        <v>504.18</v>
      </c>
      <c r="N196" s="82">
        <v>529.38</v>
      </c>
      <c r="O196" s="28">
        <v>555.86</v>
      </c>
      <c r="P196" s="80">
        <v>583.65</v>
      </c>
      <c r="Q196" s="28">
        <v>612.83000000000004</v>
      </c>
      <c r="R196" s="80">
        <v>643.48</v>
      </c>
      <c r="S196" s="81">
        <v>675.65</v>
      </c>
      <c r="T196" s="33">
        <v>709.43</v>
      </c>
      <c r="U196" s="34">
        <v>744.90149999999994</v>
      </c>
      <c r="V196" s="35">
        <v>782.14657499999998</v>
      </c>
      <c r="W196" s="34">
        <v>821.25390374999995</v>
      </c>
      <c r="X196" s="35">
        <v>862.31659893749998</v>
      </c>
      <c r="Y196" s="34">
        <v>905.43242888437499</v>
      </c>
      <c r="Z196" s="36">
        <v>950.70405032859378</v>
      </c>
    </row>
    <row r="197" spans="1:26" x14ac:dyDescent="0.2">
      <c r="A197" s="96">
        <v>40634</v>
      </c>
      <c r="B197" s="82">
        <v>427.48</v>
      </c>
      <c r="C197" s="28">
        <v>429.63</v>
      </c>
      <c r="D197" s="80">
        <v>431.78</v>
      </c>
      <c r="E197" s="28">
        <v>433.93</v>
      </c>
      <c r="F197" s="80">
        <v>436.1</v>
      </c>
      <c r="G197" s="81">
        <v>438.28</v>
      </c>
      <c r="H197" s="82">
        <v>440.48</v>
      </c>
      <c r="I197" s="28">
        <v>442.67</v>
      </c>
      <c r="J197" s="80">
        <v>444.88</v>
      </c>
      <c r="K197" s="28">
        <v>457.32</v>
      </c>
      <c r="L197" s="80">
        <v>480.17</v>
      </c>
      <c r="M197" s="81">
        <v>504.18</v>
      </c>
      <c r="N197" s="82">
        <v>529.38</v>
      </c>
      <c r="O197" s="28">
        <v>555.86</v>
      </c>
      <c r="P197" s="80">
        <v>583.65</v>
      </c>
      <c r="Q197" s="28">
        <v>612.83000000000004</v>
      </c>
      <c r="R197" s="80">
        <v>643.48</v>
      </c>
      <c r="S197" s="81">
        <v>675.65</v>
      </c>
      <c r="T197" s="33">
        <v>709.43</v>
      </c>
      <c r="U197" s="34">
        <v>744.90149999999994</v>
      </c>
      <c r="V197" s="35">
        <v>782.14657499999998</v>
      </c>
      <c r="W197" s="34">
        <v>821.25390374999995</v>
      </c>
      <c r="X197" s="35">
        <v>862.31659893749998</v>
      </c>
      <c r="Y197" s="34">
        <v>905.43242888437499</v>
      </c>
      <c r="Z197" s="36">
        <v>950.70405032859378</v>
      </c>
    </row>
    <row r="198" spans="1:26" x14ac:dyDescent="0.2">
      <c r="A198" s="96">
        <v>40664</v>
      </c>
      <c r="B198" s="82">
        <v>427.48</v>
      </c>
      <c r="C198" s="28">
        <v>429.63</v>
      </c>
      <c r="D198" s="80">
        <v>431.78</v>
      </c>
      <c r="E198" s="28">
        <v>433.93</v>
      </c>
      <c r="F198" s="80">
        <v>436.1</v>
      </c>
      <c r="G198" s="81">
        <v>438.28</v>
      </c>
      <c r="H198" s="82">
        <v>440.48</v>
      </c>
      <c r="I198" s="28">
        <v>442.67</v>
      </c>
      <c r="J198" s="80">
        <v>444.88</v>
      </c>
      <c r="K198" s="28">
        <v>457.32</v>
      </c>
      <c r="L198" s="80">
        <v>480.17</v>
      </c>
      <c r="M198" s="81">
        <v>504.18</v>
      </c>
      <c r="N198" s="82">
        <v>529.38</v>
      </c>
      <c r="O198" s="28">
        <v>555.86</v>
      </c>
      <c r="P198" s="80">
        <v>583.65</v>
      </c>
      <c r="Q198" s="28">
        <v>612.83000000000004</v>
      </c>
      <c r="R198" s="80">
        <v>643.48</v>
      </c>
      <c r="S198" s="81">
        <v>675.65</v>
      </c>
      <c r="T198" s="33">
        <v>709.43</v>
      </c>
      <c r="U198" s="34">
        <v>744.90149999999994</v>
      </c>
      <c r="V198" s="35">
        <v>782.14657499999998</v>
      </c>
      <c r="W198" s="34">
        <v>821.25390374999995</v>
      </c>
      <c r="X198" s="35">
        <v>862.31659893749998</v>
      </c>
      <c r="Y198" s="34">
        <v>905.43242888437499</v>
      </c>
      <c r="Z198" s="36">
        <v>950.70405032859378</v>
      </c>
    </row>
    <row r="199" spans="1:26" x14ac:dyDescent="0.2">
      <c r="A199" s="96">
        <v>40695</v>
      </c>
      <c r="B199" s="82">
        <v>427.48</v>
      </c>
      <c r="C199" s="28">
        <v>429.63</v>
      </c>
      <c r="D199" s="80">
        <v>431.78</v>
      </c>
      <c r="E199" s="28">
        <v>433.93</v>
      </c>
      <c r="F199" s="80">
        <v>436.1</v>
      </c>
      <c r="G199" s="81">
        <v>438.28</v>
      </c>
      <c r="H199" s="82">
        <v>440.48</v>
      </c>
      <c r="I199" s="28">
        <v>442.67</v>
      </c>
      <c r="J199" s="80">
        <v>444.88</v>
      </c>
      <c r="K199" s="28">
        <v>457.32</v>
      </c>
      <c r="L199" s="80">
        <v>480.17</v>
      </c>
      <c r="M199" s="81">
        <v>504.18</v>
      </c>
      <c r="N199" s="82">
        <v>529.38</v>
      </c>
      <c r="O199" s="28">
        <v>555.86</v>
      </c>
      <c r="P199" s="80">
        <v>583.65</v>
      </c>
      <c r="Q199" s="28">
        <v>612.83000000000004</v>
      </c>
      <c r="R199" s="80">
        <v>643.48</v>
      </c>
      <c r="S199" s="81">
        <v>675.65</v>
      </c>
      <c r="T199" s="33">
        <v>709.43</v>
      </c>
      <c r="U199" s="34">
        <v>744.90149999999994</v>
      </c>
      <c r="V199" s="35">
        <v>782.14657499999998</v>
      </c>
      <c r="W199" s="34">
        <v>821.25390374999995</v>
      </c>
      <c r="X199" s="35">
        <v>862.31659893749998</v>
      </c>
      <c r="Y199" s="34">
        <v>905.43242888437499</v>
      </c>
      <c r="Z199" s="36">
        <v>950.70405032859378</v>
      </c>
    </row>
    <row r="200" spans="1:26" x14ac:dyDescent="0.2">
      <c r="A200" s="96">
        <v>40725</v>
      </c>
      <c r="B200" s="82">
        <v>427.48</v>
      </c>
      <c r="C200" s="28">
        <v>429.63</v>
      </c>
      <c r="D200" s="80">
        <v>431.78</v>
      </c>
      <c r="E200" s="28">
        <v>433.93</v>
      </c>
      <c r="F200" s="80">
        <v>436.1</v>
      </c>
      <c r="G200" s="81">
        <v>438.28</v>
      </c>
      <c r="H200" s="82">
        <v>440.48</v>
      </c>
      <c r="I200" s="28">
        <v>442.67</v>
      </c>
      <c r="J200" s="80">
        <v>444.88</v>
      </c>
      <c r="K200" s="28">
        <v>457.32</v>
      </c>
      <c r="L200" s="80">
        <v>480.17</v>
      </c>
      <c r="M200" s="81">
        <v>504.18</v>
      </c>
      <c r="N200" s="82">
        <v>529.38</v>
      </c>
      <c r="O200" s="28">
        <v>555.86</v>
      </c>
      <c r="P200" s="80">
        <v>583.65</v>
      </c>
      <c r="Q200" s="28">
        <v>612.83000000000004</v>
      </c>
      <c r="R200" s="80">
        <v>643.48</v>
      </c>
      <c r="S200" s="81">
        <v>675.65</v>
      </c>
      <c r="T200" s="33">
        <v>709.43</v>
      </c>
      <c r="U200" s="34">
        <v>744.90149999999994</v>
      </c>
      <c r="V200" s="35">
        <v>782.14657499999998</v>
      </c>
      <c r="W200" s="34">
        <v>821.25390374999995</v>
      </c>
      <c r="X200" s="35">
        <v>862.31659893749998</v>
      </c>
      <c r="Y200" s="34">
        <v>905.43242888437499</v>
      </c>
      <c r="Z200" s="36">
        <v>950.70405032859378</v>
      </c>
    </row>
    <row r="201" spans="1:26" x14ac:dyDescent="0.2">
      <c r="A201" s="96">
        <v>40756</v>
      </c>
      <c r="B201" s="82">
        <v>427.48</v>
      </c>
      <c r="C201" s="28">
        <v>429.63</v>
      </c>
      <c r="D201" s="80">
        <v>431.78</v>
      </c>
      <c r="E201" s="28">
        <v>433.93</v>
      </c>
      <c r="F201" s="80">
        <v>436.1</v>
      </c>
      <c r="G201" s="81">
        <v>438.28</v>
      </c>
      <c r="H201" s="82">
        <v>440.48</v>
      </c>
      <c r="I201" s="28">
        <v>442.67</v>
      </c>
      <c r="J201" s="80">
        <v>444.88</v>
      </c>
      <c r="K201" s="28">
        <v>457.32</v>
      </c>
      <c r="L201" s="80">
        <v>480.17</v>
      </c>
      <c r="M201" s="81">
        <v>504.18</v>
      </c>
      <c r="N201" s="82">
        <v>529.38</v>
      </c>
      <c r="O201" s="28">
        <v>555.86</v>
      </c>
      <c r="P201" s="80">
        <v>583.65</v>
      </c>
      <c r="Q201" s="28">
        <v>612.83000000000004</v>
      </c>
      <c r="R201" s="80">
        <v>643.48</v>
      </c>
      <c r="S201" s="81">
        <v>675.65</v>
      </c>
      <c r="T201" s="33">
        <v>709.43</v>
      </c>
      <c r="U201" s="34">
        <v>744.90149999999994</v>
      </c>
      <c r="V201" s="35">
        <v>782.14657499999998</v>
      </c>
      <c r="W201" s="34">
        <v>821.25390374999995</v>
      </c>
      <c r="X201" s="35">
        <v>862.31659893749998</v>
      </c>
      <c r="Y201" s="34">
        <v>905.43242888437499</v>
      </c>
      <c r="Z201" s="36">
        <v>950.70405032859378</v>
      </c>
    </row>
    <row r="202" spans="1:26" x14ac:dyDescent="0.2">
      <c r="A202" s="96">
        <v>40787</v>
      </c>
      <c r="B202" s="82">
        <v>427.48</v>
      </c>
      <c r="C202" s="28">
        <v>429.63</v>
      </c>
      <c r="D202" s="80">
        <v>431.78</v>
      </c>
      <c r="E202" s="28">
        <v>433.93</v>
      </c>
      <c r="F202" s="80">
        <v>436.1</v>
      </c>
      <c r="G202" s="81">
        <v>438.28</v>
      </c>
      <c r="H202" s="82">
        <v>440.48</v>
      </c>
      <c r="I202" s="28">
        <v>442.67</v>
      </c>
      <c r="J202" s="80">
        <v>444.88</v>
      </c>
      <c r="K202" s="28">
        <v>457.32</v>
      </c>
      <c r="L202" s="80">
        <v>480.17</v>
      </c>
      <c r="M202" s="81">
        <v>504.18</v>
      </c>
      <c r="N202" s="82">
        <v>529.38</v>
      </c>
      <c r="O202" s="28">
        <v>555.86</v>
      </c>
      <c r="P202" s="80">
        <v>583.65</v>
      </c>
      <c r="Q202" s="28">
        <v>612.83000000000004</v>
      </c>
      <c r="R202" s="80">
        <v>643.48</v>
      </c>
      <c r="S202" s="81">
        <v>675.65</v>
      </c>
      <c r="T202" s="33">
        <v>709.43</v>
      </c>
      <c r="U202" s="34">
        <v>744.90149999999994</v>
      </c>
      <c r="V202" s="35">
        <v>782.14657499999998</v>
      </c>
      <c r="W202" s="34">
        <v>821.25390374999995</v>
      </c>
      <c r="X202" s="35">
        <v>862.31659893749998</v>
      </c>
      <c r="Y202" s="34">
        <v>905.43242888437499</v>
      </c>
      <c r="Z202" s="36">
        <v>950.70405032859378</v>
      </c>
    </row>
    <row r="203" spans="1:26" x14ac:dyDescent="0.2">
      <c r="A203" s="96">
        <v>40817</v>
      </c>
      <c r="B203" s="82">
        <v>678.33</v>
      </c>
      <c r="C203" s="28">
        <v>678.33</v>
      </c>
      <c r="D203" s="80">
        <v>678.33</v>
      </c>
      <c r="E203" s="28">
        <v>678.33</v>
      </c>
      <c r="F203" s="80">
        <v>678.33</v>
      </c>
      <c r="G203" s="81">
        <v>678.33</v>
      </c>
      <c r="H203" s="82">
        <v>705.46</v>
      </c>
      <c r="I203" s="28">
        <v>705.46</v>
      </c>
      <c r="J203" s="80">
        <v>705.46</v>
      </c>
      <c r="K203" s="28">
        <v>705.46</v>
      </c>
      <c r="L203" s="80">
        <v>705.46</v>
      </c>
      <c r="M203" s="81">
        <v>705.46</v>
      </c>
      <c r="N203" s="82">
        <v>708.6</v>
      </c>
      <c r="O203" s="28">
        <v>723.21</v>
      </c>
      <c r="P203" s="80">
        <v>737.01</v>
      </c>
      <c r="Q203" s="28">
        <v>773.84</v>
      </c>
      <c r="R203" s="80">
        <v>812.55</v>
      </c>
      <c r="S203" s="81">
        <v>853.16</v>
      </c>
      <c r="T203" s="33">
        <v>895.83</v>
      </c>
      <c r="U203" s="34">
        <v>940.62</v>
      </c>
      <c r="V203" s="35">
        <v>987.76</v>
      </c>
      <c r="W203" s="34">
        <v>1037.01</v>
      </c>
      <c r="X203" s="35">
        <v>1088.8800000000001</v>
      </c>
      <c r="Y203" s="34">
        <v>1143.33</v>
      </c>
      <c r="Z203" s="36">
        <v>1200.49</v>
      </c>
    </row>
    <row r="204" spans="1:26" x14ac:dyDescent="0.2">
      <c r="A204" s="96">
        <v>40848</v>
      </c>
      <c r="B204" s="82">
        <v>678.33</v>
      </c>
      <c r="C204" s="28">
        <v>678.33</v>
      </c>
      <c r="D204" s="80">
        <v>678.33</v>
      </c>
      <c r="E204" s="28">
        <v>678.33</v>
      </c>
      <c r="F204" s="80">
        <v>678.33</v>
      </c>
      <c r="G204" s="81">
        <v>678.33</v>
      </c>
      <c r="H204" s="82">
        <v>705.46</v>
      </c>
      <c r="I204" s="28">
        <v>705.46</v>
      </c>
      <c r="J204" s="80">
        <v>705.46</v>
      </c>
      <c r="K204" s="28">
        <v>705.46</v>
      </c>
      <c r="L204" s="80">
        <v>705.46</v>
      </c>
      <c r="M204" s="81">
        <v>705.46</v>
      </c>
      <c r="N204" s="82">
        <v>708.6</v>
      </c>
      <c r="O204" s="28">
        <v>723.21</v>
      </c>
      <c r="P204" s="80">
        <v>737.01</v>
      </c>
      <c r="Q204" s="28">
        <v>773.84</v>
      </c>
      <c r="R204" s="80">
        <v>812.55</v>
      </c>
      <c r="S204" s="81">
        <v>853.16</v>
      </c>
      <c r="T204" s="33">
        <v>895.83</v>
      </c>
      <c r="U204" s="34">
        <v>940.62</v>
      </c>
      <c r="V204" s="35">
        <v>987.76</v>
      </c>
      <c r="W204" s="34">
        <v>1037.01</v>
      </c>
      <c r="X204" s="35">
        <v>1088.8800000000001</v>
      </c>
      <c r="Y204" s="34">
        <v>1143.33</v>
      </c>
      <c r="Z204" s="36">
        <v>1200.49</v>
      </c>
    </row>
    <row r="205" spans="1:26" ht="13.5" thickBot="1" x14ac:dyDescent="0.25">
      <c r="A205" s="96">
        <v>40878</v>
      </c>
      <c r="B205" s="90">
        <v>678.33</v>
      </c>
      <c r="C205" s="87">
        <v>678.33</v>
      </c>
      <c r="D205" s="88">
        <v>678.33</v>
      </c>
      <c r="E205" s="87">
        <v>678.33</v>
      </c>
      <c r="F205" s="88">
        <v>678.33</v>
      </c>
      <c r="G205" s="89">
        <v>678.33</v>
      </c>
      <c r="H205" s="90">
        <v>705.46</v>
      </c>
      <c r="I205" s="87">
        <v>705.46</v>
      </c>
      <c r="J205" s="88">
        <v>705.46</v>
      </c>
      <c r="K205" s="87">
        <v>705.46</v>
      </c>
      <c r="L205" s="88">
        <v>705.46</v>
      </c>
      <c r="M205" s="89">
        <v>705.46</v>
      </c>
      <c r="N205" s="90">
        <v>708.6</v>
      </c>
      <c r="O205" s="87">
        <v>723.21</v>
      </c>
      <c r="P205" s="88">
        <v>737.01</v>
      </c>
      <c r="Q205" s="87">
        <v>773.84</v>
      </c>
      <c r="R205" s="88">
        <v>812.55</v>
      </c>
      <c r="S205" s="89">
        <v>853.16</v>
      </c>
      <c r="T205" s="45">
        <v>895.83</v>
      </c>
      <c r="U205" s="43">
        <v>940.62</v>
      </c>
      <c r="V205" s="42">
        <v>987.76</v>
      </c>
      <c r="W205" s="43">
        <v>1037.01</v>
      </c>
      <c r="X205" s="42">
        <v>1088.8800000000001</v>
      </c>
      <c r="Y205" s="43">
        <v>1143.33</v>
      </c>
      <c r="Z205" s="44">
        <v>1200.49</v>
      </c>
    </row>
    <row r="206" spans="1:26" x14ac:dyDescent="0.2">
      <c r="A206" s="96">
        <v>40909</v>
      </c>
      <c r="B206" s="100">
        <v>725.5</v>
      </c>
      <c r="C206" s="101">
        <v>725.5</v>
      </c>
      <c r="D206" s="102">
        <v>725.5</v>
      </c>
      <c r="E206" s="101">
        <v>725.5</v>
      </c>
      <c r="F206" s="102">
        <v>725.5</v>
      </c>
      <c r="G206" s="103">
        <v>725.5</v>
      </c>
      <c r="H206" s="100">
        <v>725.5</v>
      </c>
      <c r="I206" s="101">
        <v>725.5</v>
      </c>
      <c r="J206" s="102">
        <v>725.5</v>
      </c>
      <c r="K206" s="101">
        <v>725.5</v>
      </c>
      <c r="L206" s="102">
        <v>725.5</v>
      </c>
      <c r="M206" s="103">
        <v>725.5</v>
      </c>
      <c r="N206" s="100">
        <v>725.5</v>
      </c>
      <c r="O206" s="101">
        <v>725.5</v>
      </c>
      <c r="P206" s="102">
        <v>737.01</v>
      </c>
      <c r="Q206" s="101">
        <v>773.84</v>
      </c>
      <c r="R206" s="102">
        <v>812.55</v>
      </c>
      <c r="S206" s="103">
        <v>853.16</v>
      </c>
      <c r="T206" s="104">
        <v>895.83</v>
      </c>
      <c r="U206" s="105">
        <v>940.62</v>
      </c>
      <c r="V206" s="106">
        <v>987.76</v>
      </c>
      <c r="W206" s="105">
        <v>1037.01</v>
      </c>
      <c r="X206" s="106">
        <v>1088.8800000000001</v>
      </c>
      <c r="Y206" s="105">
        <v>1143.33</v>
      </c>
      <c r="Z206" s="107">
        <v>1200.49</v>
      </c>
    </row>
    <row r="207" spans="1:26" x14ac:dyDescent="0.2">
      <c r="A207" s="96">
        <v>40940</v>
      </c>
      <c r="B207" s="82">
        <v>725.5</v>
      </c>
      <c r="C207" s="28">
        <v>725.5</v>
      </c>
      <c r="D207" s="80">
        <v>725.5</v>
      </c>
      <c r="E207" s="28">
        <v>725.5</v>
      </c>
      <c r="F207" s="80">
        <v>725.5</v>
      </c>
      <c r="G207" s="81">
        <v>725.5</v>
      </c>
      <c r="H207" s="82">
        <v>725.5</v>
      </c>
      <c r="I207" s="28">
        <v>725.5</v>
      </c>
      <c r="J207" s="80">
        <v>725.5</v>
      </c>
      <c r="K207" s="28">
        <v>725.5</v>
      </c>
      <c r="L207" s="80">
        <v>725.5</v>
      </c>
      <c r="M207" s="81">
        <v>725.5</v>
      </c>
      <c r="N207" s="82">
        <v>725.5</v>
      </c>
      <c r="O207" s="28">
        <v>725.5</v>
      </c>
      <c r="P207" s="80">
        <v>737.01</v>
      </c>
      <c r="Q207" s="28">
        <v>773.84</v>
      </c>
      <c r="R207" s="80">
        <v>812.55</v>
      </c>
      <c r="S207" s="81">
        <v>853.16</v>
      </c>
      <c r="T207" s="33">
        <v>895.83</v>
      </c>
      <c r="U207" s="34">
        <v>940.62</v>
      </c>
      <c r="V207" s="35">
        <v>987.76</v>
      </c>
      <c r="W207" s="34">
        <v>1037.01</v>
      </c>
      <c r="X207" s="35">
        <v>1088.8800000000001</v>
      </c>
      <c r="Y207" s="34">
        <v>1143.33</v>
      </c>
      <c r="Z207" s="36">
        <v>1200.49</v>
      </c>
    </row>
    <row r="208" spans="1:26" x14ac:dyDescent="0.2">
      <c r="A208" s="96">
        <v>40969</v>
      </c>
      <c r="B208" s="82">
        <v>725.5</v>
      </c>
      <c r="C208" s="28">
        <v>725.5</v>
      </c>
      <c r="D208" s="80">
        <v>725.5</v>
      </c>
      <c r="E208" s="28">
        <v>725.5</v>
      </c>
      <c r="F208" s="80">
        <v>725.5</v>
      </c>
      <c r="G208" s="81">
        <v>725.5</v>
      </c>
      <c r="H208" s="82">
        <v>725.5</v>
      </c>
      <c r="I208" s="28">
        <v>725.5</v>
      </c>
      <c r="J208" s="80">
        <v>725.5</v>
      </c>
      <c r="K208" s="28">
        <v>725.5</v>
      </c>
      <c r="L208" s="80">
        <v>725.5</v>
      </c>
      <c r="M208" s="81">
        <v>725.5</v>
      </c>
      <c r="N208" s="82">
        <v>733.47</v>
      </c>
      <c r="O208" s="28">
        <v>748.59</v>
      </c>
      <c r="P208" s="80">
        <v>762.88</v>
      </c>
      <c r="Q208" s="28">
        <v>801</v>
      </c>
      <c r="R208" s="80">
        <v>841.07</v>
      </c>
      <c r="S208" s="81">
        <v>883.1</v>
      </c>
      <c r="T208" s="33">
        <v>927.27</v>
      </c>
      <c r="U208" s="34">
        <v>973.63</v>
      </c>
      <c r="V208" s="35">
        <v>1022.34</v>
      </c>
      <c r="W208" s="34">
        <v>1073.4100000000001</v>
      </c>
      <c r="X208" s="35">
        <v>1127.0899999999999</v>
      </c>
      <c r="Y208" s="34">
        <v>1183.47</v>
      </c>
      <c r="Z208" s="36">
        <v>1242.6300000000001</v>
      </c>
    </row>
    <row r="209" spans="1:26" x14ac:dyDescent="0.2">
      <c r="A209" s="96">
        <v>41000</v>
      </c>
      <c r="B209" s="82">
        <v>725.5</v>
      </c>
      <c r="C209" s="28">
        <v>725.5</v>
      </c>
      <c r="D209" s="80">
        <v>725.5</v>
      </c>
      <c r="E209" s="28">
        <v>725.5</v>
      </c>
      <c r="F209" s="80">
        <v>725.5</v>
      </c>
      <c r="G209" s="81">
        <v>725.5</v>
      </c>
      <c r="H209" s="82">
        <v>725.5</v>
      </c>
      <c r="I209" s="28">
        <v>725.5</v>
      </c>
      <c r="J209" s="80">
        <v>725.5</v>
      </c>
      <c r="K209" s="28">
        <v>725.5</v>
      </c>
      <c r="L209" s="80">
        <v>725.5</v>
      </c>
      <c r="M209" s="81">
        <v>725.5</v>
      </c>
      <c r="N209" s="82">
        <v>733.47</v>
      </c>
      <c r="O209" s="28">
        <v>748.59</v>
      </c>
      <c r="P209" s="80">
        <v>762.88</v>
      </c>
      <c r="Q209" s="28">
        <v>801</v>
      </c>
      <c r="R209" s="80">
        <v>841.07</v>
      </c>
      <c r="S209" s="81">
        <v>883.1</v>
      </c>
      <c r="T209" s="33">
        <v>927.27</v>
      </c>
      <c r="U209" s="34">
        <v>973.63</v>
      </c>
      <c r="V209" s="35">
        <v>1022.34</v>
      </c>
      <c r="W209" s="34">
        <v>1073.4100000000001</v>
      </c>
      <c r="X209" s="35">
        <v>1127.0899999999999</v>
      </c>
      <c r="Y209" s="34">
        <v>1183.47</v>
      </c>
      <c r="Z209" s="36">
        <v>1242.6300000000001</v>
      </c>
    </row>
    <row r="210" spans="1:26" x14ac:dyDescent="0.2">
      <c r="A210" s="96">
        <v>41030</v>
      </c>
      <c r="B210" s="82">
        <v>725.5</v>
      </c>
      <c r="C210" s="28">
        <v>725.5</v>
      </c>
      <c r="D210" s="80">
        <v>725.5</v>
      </c>
      <c r="E210" s="28">
        <v>725.5</v>
      </c>
      <c r="F210" s="80">
        <v>725.5</v>
      </c>
      <c r="G210" s="81">
        <v>725.5</v>
      </c>
      <c r="H210" s="82">
        <v>725.5</v>
      </c>
      <c r="I210" s="28">
        <v>725.5</v>
      </c>
      <c r="J210" s="80">
        <v>725.5</v>
      </c>
      <c r="K210" s="28">
        <v>725.5</v>
      </c>
      <c r="L210" s="80">
        <v>725.5</v>
      </c>
      <c r="M210" s="81">
        <v>725.5</v>
      </c>
      <c r="N210" s="82">
        <v>733.47</v>
      </c>
      <c r="O210" s="28">
        <v>748.59</v>
      </c>
      <c r="P210" s="80">
        <v>762.88</v>
      </c>
      <c r="Q210" s="28">
        <v>801</v>
      </c>
      <c r="R210" s="80">
        <v>841.07</v>
      </c>
      <c r="S210" s="81">
        <v>883.1</v>
      </c>
      <c r="T210" s="33">
        <v>927.27</v>
      </c>
      <c r="U210" s="34">
        <v>973.63</v>
      </c>
      <c r="V210" s="35">
        <v>1022.34</v>
      </c>
      <c r="W210" s="34">
        <v>1073.4100000000001</v>
      </c>
      <c r="X210" s="35">
        <v>1127.0899999999999</v>
      </c>
      <c r="Y210" s="34">
        <v>1183.47</v>
      </c>
      <c r="Z210" s="36">
        <v>1242.6300000000001</v>
      </c>
    </row>
    <row r="211" spans="1:26" x14ac:dyDescent="0.2">
      <c r="A211" s="96">
        <v>41061</v>
      </c>
      <c r="B211" s="82">
        <v>725.5</v>
      </c>
      <c r="C211" s="28">
        <v>725.5</v>
      </c>
      <c r="D211" s="80">
        <v>725.5</v>
      </c>
      <c r="E211" s="28">
        <v>725.5</v>
      </c>
      <c r="F211" s="80">
        <v>725.5</v>
      </c>
      <c r="G211" s="81">
        <v>725.5</v>
      </c>
      <c r="H211" s="82">
        <v>725.5</v>
      </c>
      <c r="I211" s="28">
        <v>725.5</v>
      </c>
      <c r="J211" s="80">
        <v>725.5</v>
      </c>
      <c r="K211" s="28">
        <v>725.5</v>
      </c>
      <c r="L211" s="80">
        <v>725.5</v>
      </c>
      <c r="M211" s="81">
        <v>725.5</v>
      </c>
      <c r="N211" s="82">
        <v>733.47</v>
      </c>
      <c r="O211" s="28">
        <v>748.59</v>
      </c>
      <c r="P211" s="80">
        <v>762.88</v>
      </c>
      <c r="Q211" s="28">
        <v>801</v>
      </c>
      <c r="R211" s="80">
        <v>841.07</v>
      </c>
      <c r="S211" s="81">
        <v>883.1</v>
      </c>
      <c r="T211" s="33">
        <v>927.27</v>
      </c>
      <c r="U211" s="34">
        <v>973.63</v>
      </c>
      <c r="V211" s="35">
        <v>1022.34</v>
      </c>
      <c r="W211" s="34">
        <v>1073.4100000000001</v>
      </c>
      <c r="X211" s="35">
        <v>1127.0899999999999</v>
      </c>
      <c r="Y211" s="34">
        <v>1183.47</v>
      </c>
      <c r="Z211" s="36">
        <v>1242.6300000000001</v>
      </c>
    </row>
    <row r="212" spans="1:26" x14ac:dyDescent="0.2">
      <c r="A212" s="96">
        <v>41091</v>
      </c>
      <c r="B212" s="82">
        <v>725.5</v>
      </c>
      <c r="C212" s="28">
        <v>725.5</v>
      </c>
      <c r="D212" s="80">
        <v>725.5</v>
      </c>
      <c r="E212" s="28">
        <v>725.5</v>
      </c>
      <c r="F212" s="80">
        <v>725.5</v>
      </c>
      <c r="G212" s="81">
        <v>725.5</v>
      </c>
      <c r="H212" s="82">
        <v>725.5</v>
      </c>
      <c r="I212" s="28">
        <v>725.5</v>
      </c>
      <c r="J212" s="80">
        <v>725.5</v>
      </c>
      <c r="K212" s="28">
        <v>725.5</v>
      </c>
      <c r="L212" s="80">
        <v>725.5</v>
      </c>
      <c r="M212" s="81">
        <v>725.5</v>
      </c>
      <c r="N212" s="82">
        <v>733.47</v>
      </c>
      <c r="O212" s="28">
        <v>748.59</v>
      </c>
      <c r="P212" s="80">
        <v>762.88</v>
      </c>
      <c r="Q212" s="28">
        <v>801</v>
      </c>
      <c r="R212" s="80">
        <v>841.07</v>
      </c>
      <c r="S212" s="81">
        <v>883.1</v>
      </c>
      <c r="T212" s="33">
        <v>927.27</v>
      </c>
      <c r="U212" s="34">
        <v>973.63</v>
      </c>
      <c r="V212" s="35">
        <v>1022.34</v>
      </c>
      <c r="W212" s="34">
        <v>1073.4100000000001</v>
      </c>
      <c r="X212" s="35">
        <v>1127.0899999999999</v>
      </c>
      <c r="Y212" s="34">
        <v>1183.47</v>
      </c>
      <c r="Z212" s="36">
        <v>1242.6300000000001</v>
      </c>
    </row>
    <row r="213" spans="1:26" x14ac:dyDescent="0.2">
      <c r="A213" s="96">
        <v>41122</v>
      </c>
      <c r="B213" s="82">
        <v>725.5</v>
      </c>
      <c r="C213" s="28">
        <v>725.5</v>
      </c>
      <c r="D213" s="80">
        <v>725.5</v>
      </c>
      <c r="E213" s="28">
        <v>725.5</v>
      </c>
      <c r="F213" s="80">
        <v>725.5</v>
      </c>
      <c r="G213" s="81">
        <v>725.5</v>
      </c>
      <c r="H213" s="82">
        <v>725.5</v>
      </c>
      <c r="I213" s="28">
        <v>725.5</v>
      </c>
      <c r="J213" s="80">
        <v>725.5</v>
      </c>
      <c r="K213" s="28">
        <v>725.5</v>
      </c>
      <c r="L213" s="80">
        <v>725.5</v>
      </c>
      <c r="M213" s="81">
        <v>725.5</v>
      </c>
      <c r="N213" s="82">
        <v>733.47</v>
      </c>
      <c r="O213" s="28">
        <v>748.59</v>
      </c>
      <c r="P213" s="80">
        <v>762.88</v>
      </c>
      <c r="Q213" s="28">
        <v>801</v>
      </c>
      <c r="R213" s="80">
        <v>841.07</v>
      </c>
      <c r="S213" s="81">
        <v>883.1</v>
      </c>
      <c r="T213" s="33">
        <v>927.27</v>
      </c>
      <c r="U213" s="34">
        <v>973.63</v>
      </c>
      <c r="V213" s="35">
        <v>1022.34</v>
      </c>
      <c r="W213" s="34">
        <v>1073.4100000000001</v>
      </c>
      <c r="X213" s="35">
        <v>1127.0899999999999</v>
      </c>
      <c r="Y213" s="34">
        <v>1183.47</v>
      </c>
      <c r="Z213" s="36">
        <v>1242.6300000000001</v>
      </c>
    </row>
    <row r="214" spans="1:26" x14ac:dyDescent="0.2">
      <c r="A214" s="96">
        <v>41153</v>
      </c>
      <c r="B214" s="82">
        <v>725.5</v>
      </c>
      <c r="C214" s="28">
        <v>725.5</v>
      </c>
      <c r="D214" s="80">
        <v>725.5</v>
      </c>
      <c r="E214" s="28">
        <v>725.5</v>
      </c>
      <c r="F214" s="80">
        <v>725.5</v>
      </c>
      <c r="G214" s="81">
        <v>725.5</v>
      </c>
      <c r="H214" s="82">
        <v>725.5</v>
      </c>
      <c r="I214" s="28">
        <v>725.5</v>
      </c>
      <c r="J214" s="80">
        <v>725.5</v>
      </c>
      <c r="K214" s="28">
        <v>725.5</v>
      </c>
      <c r="L214" s="80">
        <v>725.5</v>
      </c>
      <c r="M214" s="81">
        <v>725.5</v>
      </c>
      <c r="N214" s="82">
        <v>759.22</v>
      </c>
      <c r="O214" s="28">
        <v>774.86</v>
      </c>
      <c r="P214" s="80">
        <v>789.65</v>
      </c>
      <c r="Q214" s="28">
        <v>829.11</v>
      </c>
      <c r="R214" s="80">
        <v>870.59</v>
      </c>
      <c r="S214" s="81">
        <v>914.09</v>
      </c>
      <c r="T214" s="33">
        <v>959.81</v>
      </c>
      <c r="U214" s="34">
        <v>1007.8</v>
      </c>
      <c r="V214" s="35">
        <v>1058.22</v>
      </c>
      <c r="W214" s="34">
        <v>1111.08</v>
      </c>
      <c r="X214" s="35">
        <v>1166.6500000000001</v>
      </c>
      <c r="Y214" s="34">
        <v>1225</v>
      </c>
      <c r="Z214" s="36">
        <v>1286.24</v>
      </c>
    </row>
    <row r="215" spans="1:26" x14ac:dyDescent="0.2">
      <c r="A215" s="96">
        <v>41183</v>
      </c>
      <c r="B215" s="82">
        <v>725.5</v>
      </c>
      <c r="C215" s="28">
        <v>725.5</v>
      </c>
      <c r="D215" s="80">
        <v>725.5</v>
      </c>
      <c r="E215" s="28">
        <v>725.5</v>
      </c>
      <c r="F215" s="80">
        <v>725.5</v>
      </c>
      <c r="G215" s="81">
        <v>725.5</v>
      </c>
      <c r="H215" s="82">
        <v>725.5</v>
      </c>
      <c r="I215" s="28">
        <v>725.5</v>
      </c>
      <c r="J215" s="80">
        <v>725.5</v>
      </c>
      <c r="K215" s="28">
        <v>725.5</v>
      </c>
      <c r="L215" s="80">
        <v>725.5</v>
      </c>
      <c r="M215" s="81">
        <v>725.5</v>
      </c>
      <c r="N215" s="82">
        <v>759.22</v>
      </c>
      <c r="O215" s="28">
        <v>774.86</v>
      </c>
      <c r="P215" s="80">
        <v>789.65</v>
      </c>
      <c r="Q215" s="28">
        <v>829.11</v>
      </c>
      <c r="R215" s="80">
        <v>870.59</v>
      </c>
      <c r="S215" s="81">
        <v>914.09</v>
      </c>
      <c r="T215" s="33">
        <v>959.81</v>
      </c>
      <c r="U215" s="34">
        <v>1007.8</v>
      </c>
      <c r="V215" s="35">
        <v>1058.22</v>
      </c>
      <c r="W215" s="34">
        <v>1111.08</v>
      </c>
      <c r="X215" s="35">
        <v>1166.6500000000001</v>
      </c>
      <c r="Y215" s="34">
        <v>1225</v>
      </c>
      <c r="Z215" s="36">
        <v>1286.24</v>
      </c>
    </row>
    <row r="216" spans="1:26" x14ac:dyDescent="0.2">
      <c r="A216" s="97">
        <v>41214</v>
      </c>
      <c r="B216" s="86">
        <v>725.5</v>
      </c>
      <c r="C216" s="83">
        <v>725.5</v>
      </c>
      <c r="D216" s="84">
        <v>725.5</v>
      </c>
      <c r="E216" s="83">
        <v>725.5</v>
      </c>
      <c r="F216" s="84">
        <v>725.5</v>
      </c>
      <c r="G216" s="85">
        <v>725.5</v>
      </c>
      <c r="H216" s="86">
        <v>725.5</v>
      </c>
      <c r="I216" s="83">
        <v>725.5</v>
      </c>
      <c r="J216" s="84">
        <v>725.5</v>
      </c>
      <c r="K216" s="83">
        <v>725.5</v>
      </c>
      <c r="L216" s="84">
        <v>725.5</v>
      </c>
      <c r="M216" s="85">
        <v>725.5</v>
      </c>
      <c r="N216" s="86">
        <v>759.22</v>
      </c>
      <c r="O216" s="83">
        <v>774.86</v>
      </c>
      <c r="P216" s="84">
        <v>789.65</v>
      </c>
      <c r="Q216" s="83">
        <v>829.11</v>
      </c>
      <c r="R216" s="84">
        <v>870.59</v>
      </c>
      <c r="S216" s="85">
        <v>914.09</v>
      </c>
      <c r="T216" s="38">
        <v>959.81</v>
      </c>
      <c r="U216" s="39">
        <v>1007.8</v>
      </c>
      <c r="V216" s="40">
        <v>1058.22</v>
      </c>
      <c r="W216" s="39">
        <v>1111.08</v>
      </c>
      <c r="X216" s="40">
        <v>1166.6500000000001</v>
      </c>
      <c r="Y216" s="39">
        <v>1225</v>
      </c>
      <c r="Z216" s="41">
        <v>1286.24</v>
      </c>
    </row>
    <row r="217" spans="1:26" ht="13.5" thickBot="1" x14ac:dyDescent="0.25">
      <c r="A217" s="96">
        <v>41244</v>
      </c>
      <c r="B217" s="90">
        <v>725.5</v>
      </c>
      <c r="C217" s="87">
        <v>725.5</v>
      </c>
      <c r="D217" s="88">
        <v>725.5</v>
      </c>
      <c r="E217" s="87">
        <v>725.5</v>
      </c>
      <c r="F217" s="88">
        <v>725.5</v>
      </c>
      <c r="G217" s="89">
        <v>725.5</v>
      </c>
      <c r="H217" s="90">
        <v>725.5</v>
      </c>
      <c r="I217" s="87">
        <v>725.5</v>
      </c>
      <c r="J217" s="88">
        <v>725.5</v>
      </c>
      <c r="K217" s="87">
        <v>725.5</v>
      </c>
      <c r="L217" s="88">
        <v>725.5</v>
      </c>
      <c r="M217" s="89">
        <v>725.5</v>
      </c>
      <c r="N217" s="90">
        <v>759.22</v>
      </c>
      <c r="O217" s="87">
        <v>774.86</v>
      </c>
      <c r="P217" s="88">
        <v>789.65</v>
      </c>
      <c r="Q217" s="87">
        <v>829.11</v>
      </c>
      <c r="R217" s="88">
        <v>870.59</v>
      </c>
      <c r="S217" s="89">
        <v>914.09</v>
      </c>
      <c r="T217" s="45">
        <v>959.81</v>
      </c>
      <c r="U217" s="43">
        <v>1007.8</v>
      </c>
      <c r="V217" s="42">
        <v>1058.22</v>
      </c>
      <c r="W217" s="43">
        <v>1111.08</v>
      </c>
      <c r="X217" s="42">
        <v>1166.6500000000001</v>
      </c>
      <c r="Y217" s="43">
        <v>1225</v>
      </c>
      <c r="Z217" s="44">
        <v>1286.24</v>
      </c>
    </row>
    <row r="218" spans="1:26" x14ac:dyDescent="0.2">
      <c r="A218" s="96">
        <v>41275</v>
      </c>
      <c r="B218" s="100">
        <v>725.5</v>
      </c>
      <c r="C218" s="101">
        <v>725.5</v>
      </c>
      <c r="D218" s="102">
        <v>725.5</v>
      </c>
      <c r="E218" s="101">
        <v>725.5</v>
      </c>
      <c r="F218" s="102">
        <v>725.5</v>
      </c>
      <c r="G218" s="103">
        <v>725.5</v>
      </c>
      <c r="H218" s="100">
        <v>725.5</v>
      </c>
      <c r="I218" s="101">
        <v>725.5</v>
      </c>
      <c r="J218" s="102">
        <v>725.5</v>
      </c>
      <c r="K218" s="101">
        <v>725.5</v>
      </c>
      <c r="L218" s="102">
        <v>725.5</v>
      </c>
      <c r="M218" s="103">
        <v>725.5</v>
      </c>
      <c r="N218" s="100">
        <v>759.22</v>
      </c>
      <c r="O218" s="101">
        <v>774.86</v>
      </c>
      <c r="P218" s="102">
        <v>789.65</v>
      </c>
      <c r="Q218" s="101">
        <v>829.11</v>
      </c>
      <c r="R218" s="102">
        <v>870.59</v>
      </c>
      <c r="S218" s="103">
        <v>914.09</v>
      </c>
      <c r="T218" s="104">
        <v>959.81</v>
      </c>
      <c r="U218" s="105">
        <v>1007.8</v>
      </c>
      <c r="V218" s="106">
        <v>1058.22</v>
      </c>
      <c r="W218" s="105">
        <v>1111.08</v>
      </c>
      <c r="X218" s="106">
        <v>1166.6500000000001</v>
      </c>
      <c r="Y218" s="105">
        <v>1225</v>
      </c>
      <c r="Z218" s="107">
        <v>1286.24</v>
      </c>
    </row>
    <row r="219" spans="1:26" x14ac:dyDescent="0.2">
      <c r="A219" s="96">
        <v>41306</v>
      </c>
      <c r="B219" s="82">
        <v>725.5</v>
      </c>
      <c r="C219" s="28">
        <v>725.5</v>
      </c>
      <c r="D219" s="80">
        <v>725.5</v>
      </c>
      <c r="E219" s="28">
        <v>725.5</v>
      </c>
      <c r="F219" s="80">
        <v>725.5</v>
      </c>
      <c r="G219" s="81">
        <v>725.5</v>
      </c>
      <c r="H219" s="82">
        <v>725.5</v>
      </c>
      <c r="I219" s="28">
        <v>725.5</v>
      </c>
      <c r="J219" s="80">
        <v>725.5</v>
      </c>
      <c r="K219" s="28">
        <v>725.5</v>
      </c>
      <c r="L219" s="80">
        <v>725.5</v>
      </c>
      <c r="M219" s="81">
        <v>725.5</v>
      </c>
      <c r="N219" s="82">
        <v>759.22</v>
      </c>
      <c r="O219" s="28">
        <v>774.86</v>
      </c>
      <c r="P219" s="80">
        <v>789.65</v>
      </c>
      <c r="Q219" s="28">
        <v>829.11</v>
      </c>
      <c r="R219" s="80">
        <v>870.59</v>
      </c>
      <c r="S219" s="81">
        <v>914.09</v>
      </c>
      <c r="T219" s="33">
        <v>959.81</v>
      </c>
      <c r="U219" s="34">
        <v>1007.8</v>
      </c>
      <c r="V219" s="35">
        <v>1058.22</v>
      </c>
      <c r="W219" s="34">
        <v>1111.08</v>
      </c>
      <c r="X219" s="35">
        <v>1166.6500000000001</v>
      </c>
      <c r="Y219" s="34">
        <v>1225</v>
      </c>
      <c r="Z219" s="36">
        <v>1286.24</v>
      </c>
    </row>
    <row r="220" spans="1:26" x14ac:dyDescent="0.2">
      <c r="A220" s="96">
        <v>41334</v>
      </c>
      <c r="B220" s="82">
        <v>725.5</v>
      </c>
      <c r="C220" s="28">
        <v>725.5</v>
      </c>
      <c r="D220" s="80">
        <v>725.5</v>
      </c>
      <c r="E220" s="28">
        <v>725.5</v>
      </c>
      <c r="F220" s="80">
        <v>725.5</v>
      </c>
      <c r="G220" s="81">
        <v>725.5</v>
      </c>
      <c r="H220" s="82">
        <v>725.5</v>
      </c>
      <c r="I220" s="28">
        <v>725.5</v>
      </c>
      <c r="J220" s="80">
        <v>725.5</v>
      </c>
      <c r="K220" s="28">
        <v>725.5</v>
      </c>
      <c r="L220" s="80">
        <v>725.5</v>
      </c>
      <c r="M220" s="81">
        <v>725.5</v>
      </c>
      <c r="N220" s="82">
        <v>759.22</v>
      </c>
      <c r="O220" s="28">
        <v>774.86</v>
      </c>
      <c r="P220" s="80">
        <v>789.65</v>
      </c>
      <c r="Q220" s="28">
        <v>829.11</v>
      </c>
      <c r="R220" s="80">
        <v>870.59</v>
      </c>
      <c r="S220" s="81">
        <v>914.09</v>
      </c>
      <c r="T220" s="33">
        <v>959.81</v>
      </c>
      <c r="U220" s="34">
        <v>1007.8</v>
      </c>
      <c r="V220" s="35">
        <v>1058.22</v>
      </c>
      <c r="W220" s="34">
        <v>1111.08</v>
      </c>
      <c r="X220" s="35">
        <v>1166.6500000000001</v>
      </c>
      <c r="Y220" s="34">
        <v>1225</v>
      </c>
      <c r="Z220" s="36">
        <v>1286.24</v>
      </c>
    </row>
    <row r="221" spans="1:26" x14ac:dyDescent="0.2">
      <c r="A221" s="96">
        <v>41365</v>
      </c>
      <c r="B221" s="82">
        <v>725.5</v>
      </c>
      <c r="C221" s="28">
        <v>725.5</v>
      </c>
      <c r="D221" s="80">
        <v>725.5</v>
      </c>
      <c r="E221" s="28">
        <v>725.5</v>
      </c>
      <c r="F221" s="80">
        <v>725.5</v>
      </c>
      <c r="G221" s="81">
        <v>725.5</v>
      </c>
      <c r="H221" s="82">
        <v>725.5</v>
      </c>
      <c r="I221" s="28">
        <v>725.5</v>
      </c>
      <c r="J221" s="80">
        <v>725.5</v>
      </c>
      <c r="K221" s="28">
        <v>725.5</v>
      </c>
      <c r="L221" s="80">
        <v>725.5</v>
      </c>
      <c r="M221" s="81">
        <v>725.5</v>
      </c>
      <c r="N221" s="82">
        <v>759.22</v>
      </c>
      <c r="O221" s="28">
        <v>774.86</v>
      </c>
      <c r="P221" s="80">
        <v>789.65</v>
      </c>
      <c r="Q221" s="28">
        <v>829.11</v>
      </c>
      <c r="R221" s="80">
        <v>870.59</v>
      </c>
      <c r="S221" s="81">
        <v>914.09</v>
      </c>
      <c r="T221" s="33">
        <v>959.81</v>
      </c>
      <c r="U221" s="34">
        <v>1007.8</v>
      </c>
      <c r="V221" s="35">
        <v>1058.22</v>
      </c>
      <c r="W221" s="34">
        <v>1111.08</v>
      </c>
      <c r="X221" s="35">
        <v>1166.6500000000001</v>
      </c>
      <c r="Y221" s="34">
        <v>1225</v>
      </c>
      <c r="Z221" s="36">
        <v>1286.24</v>
      </c>
    </row>
    <row r="222" spans="1:26" x14ac:dyDescent="0.2">
      <c r="A222" s="96">
        <v>41395</v>
      </c>
      <c r="B222" s="82">
        <v>725.5</v>
      </c>
      <c r="C222" s="28">
        <v>725.5</v>
      </c>
      <c r="D222" s="80">
        <v>725.5</v>
      </c>
      <c r="E222" s="28">
        <v>725.5</v>
      </c>
      <c r="F222" s="80">
        <v>725.5</v>
      </c>
      <c r="G222" s="81">
        <v>725.5</v>
      </c>
      <c r="H222" s="82">
        <v>725.5</v>
      </c>
      <c r="I222" s="28">
        <v>725.5</v>
      </c>
      <c r="J222" s="80">
        <v>725.5</v>
      </c>
      <c r="K222" s="28">
        <v>725.5</v>
      </c>
      <c r="L222" s="80">
        <v>725.5</v>
      </c>
      <c r="M222" s="81">
        <v>725.5</v>
      </c>
      <c r="N222" s="82">
        <v>759.22</v>
      </c>
      <c r="O222" s="28">
        <v>774.86</v>
      </c>
      <c r="P222" s="80">
        <v>789.65</v>
      </c>
      <c r="Q222" s="28">
        <v>829.11</v>
      </c>
      <c r="R222" s="80">
        <v>870.59</v>
      </c>
      <c r="S222" s="81">
        <v>914.09</v>
      </c>
      <c r="T222" s="33">
        <v>959.81</v>
      </c>
      <c r="U222" s="34">
        <v>1007.8</v>
      </c>
      <c r="V222" s="35">
        <v>1058.22</v>
      </c>
      <c r="W222" s="34">
        <v>1111.08</v>
      </c>
      <c r="X222" s="35">
        <v>1166.6500000000001</v>
      </c>
      <c r="Y222" s="34">
        <v>1225</v>
      </c>
      <c r="Z222" s="36">
        <v>1286.24</v>
      </c>
    </row>
    <row r="223" spans="1:26" x14ac:dyDescent="0.2">
      <c r="A223" s="96">
        <v>41426</v>
      </c>
      <c r="B223" s="82">
        <v>725.5</v>
      </c>
      <c r="C223" s="28">
        <v>725.5</v>
      </c>
      <c r="D223" s="80">
        <v>725.5</v>
      </c>
      <c r="E223" s="28">
        <v>725.5</v>
      </c>
      <c r="F223" s="80">
        <v>725.5</v>
      </c>
      <c r="G223" s="81">
        <v>725.5</v>
      </c>
      <c r="H223" s="82">
        <v>725.5</v>
      </c>
      <c r="I223" s="28">
        <v>725.5</v>
      </c>
      <c r="J223" s="80">
        <v>725.5</v>
      </c>
      <c r="K223" s="28">
        <v>725.5</v>
      </c>
      <c r="L223" s="80">
        <v>725.5</v>
      </c>
      <c r="M223" s="81">
        <v>725.5</v>
      </c>
      <c r="N223" s="82">
        <v>759.22</v>
      </c>
      <c r="O223" s="28">
        <v>774.86</v>
      </c>
      <c r="P223" s="80">
        <v>789.65</v>
      </c>
      <c r="Q223" s="28">
        <v>829.11</v>
      </c>
      <c r="R223" s="80">
        <v>870.59</v>
      </c>
      <c r="S223" s="81">
        <v>914.09</v>
      </c>
      <c r="T223" s="33">
        <v>959.81</v>
      </c>
      <c r="U223" s="34">
        <v>1007.8</v>
      </c>
      <c r="V223" s="35">
        <v>1058.22</v>
      </c>
      <c r="W223" s="34">
        <v>1111.08</v>
      </c>
      <c r="X223" s="35">
        <v>1166.6500000000001</v>
      </c>
      <c r="Y223" s="34">
        <v>1225</v>
      </c>
      <c r="Z223" s="36">
        <v>1286.24</v>
      </c>
    </row>
    <row r="224" spans="1:26" x14ac:dyDescent="0.2">
      <c r="A224" s="96">
        <v>41456</v>
      </c>
      <c r="B224" s="82">
        <v>725.5</v>
      </c>
      <c r="C224" s="28">
        <v>725.5</v>
      </c>
      <c r="D224" s="80">
        <v>725.5</v>
      </c>
      <c r="E224" s="28">
        <v>725.5</v>
      </c>
      <c r="F224" s="80">
        <v>725.5</v>
      </c>
      <c r="G224" s="81">
        <v>725.5</v>
      </c>
      <c r="H224" s="82">
        <v>725.5</v>
      </c>
      <c r="I224" s="28">
        <v>725.5</v>
      </c>
      <c r="J224" s="80">
        <v>725.5</v>
      </c>
      <c r="K224" s="28">
        <v>725.5</v>
      </c>
      <c r="L224" s="80">
        <v>725.5</v>
      </c>
      <c r="M224" s="81">
        <v>725.5</v>
      </c>
      <c r="N224" s="82">
        <v>759.22</v>
      </c>
      <c r="O224" s="28">
        <v>774.86</v>
      </c>
      <c r="P224" s="80">
        <v>789.65</v>
      </c>
      <c r="Q224" s="28">
        <v>829.11</v>
      </c>
      <c r="R224" s="80">
        <v>870.59</v>
      </c>
      <c r="S224" s="81">
        <v>914.09</v>
      </c>
      <c r="T224" s="33">
        <v>959.81</v>
      </c>
      <c r="U224" s="34">
        <v>1007.8</v>
      </c>
      <c r="V224" s="35">
        <v>1058.22</v>
      </c>
      <c r="W224" s="34">
        <v>1111.08</v>
      </c>
      <c r="X224" s="35">
        <v>1166.6500000000001</v>
      </c>
      <c r="Y224" s="34">
        <v>1225</v>
      </c>
      <c r="Z224" s="36">
        <v>1286.24</v>
      </c>
    </row>
    <row r="225" spans="1:26" x14ac:dyDescent="0.2">
      <c r="A225" s="96">
        <v>41487</v>
      </c>
      <c r="B225" s="82">
        <v>783.5</v>
      </c>
      <c r="C225" s="28">
        <v>807.01</v>
      </c>
      <c r="D225" s="80">
        <v>831.22</v>
      </c>
      <c r="E225" s="28">
        <v>856.15</v>
      </c>
      <c r="F225" s="80">
        <v>881.84</v>
      </c>
      <c r="G225" s="81">
        <v>908.29</v>
      </c>
      <c r="H225" s="82">
        <v>783.5</v>
      </c>
      <c r="I225" s="28">
        <v>807.01</v>
      </c>
      <c r="J225" s="80">
        <v>831.22</v>
      </c>
      <c r="K225" s="28">
        <v>856.15</v>
      </c>
      <c r="L225" s="80">
        <v>881.84</v>
      </c>
      <c r="M225" s="81">
        <v>908.29</v>
      </c>
      <c r="N225" s="82">
        <v>819.73</v>
      </c>
      <c r="O225" s="28">
        <v>852.52</v>
      </c>
      <c r="P225" s="80">
        <v>886.62</v>
      </c>
      <c r="Q225" s="28">
        <v>922.08</v>
      </c>
      <c r="R225" s="80">
        <v>958.97</v>
      </c>
      <c r="S225" s="81">
        <v>997.33</v>
      </c>
      <c r="T225" s="33">
        <v>998.2</v>
      </c>
      <c r="U225" s="34">
        <v>1048.1099999999999</v>
      </c>
      <c r="V225" s="35">
        <v>1100.52</v>
      </c>
      <c r="W225" s="34">
        <v>1155.55</v>
      </c>
      <c r="X225" s="35">
        <v>1213.32</v>
      </c>
      <c r="Y225" s="34">
        <v>1273.99</v>
      </c>
      <c r="Z225" s="36">
        <v>1337.69</v>
      </c>
    </row>
    <row r="226" spans="1:26" x14ac:dyDescent="0.2">
      <c r="A226" s="96">
        <v>41518</v>
      </c>
      <c r="B226" s="82">
        <v>783.5</v>
      </c>
      <c r="C226" s="28">
        <v>807.01</v>
      </c>
      <c r="D226" s="80">
        <v>831.22</v>
      </c>
      <c r="E226" s="28">
        <v>856.15</v>
      </c>
      <c r="F226" s="80">
        <v>881.84</v>
      </c>
      <c r="G226" s="81">
        <v>908.29</v>
      </c>
      <c r="H226" s="82">
        <v>783.5</v>
      </c>
      <c r="I226" s="28">
        <v>807.01</v>
      </c>
      <c r="J226" s="80">
        <v>831.22</v>
      </c>
      <c r="K226" s="28">
        <v>856.15</v>
      </c>
      <c r="L226" s="80">
        <v>881.84</v>
      </c>
      <c r="M226" s="81">
        <v>908.29</v>
      </c>
      <c r="N226" s="82">
        <v>819.73</v>
      </c>
      <c r="O226" s="28">
        <v>852.52</v>
      </c>
      <c r="P226" s="80">
        <v>886.62</v>
      </c>
      <c r="Q226" s="28">
        <v>922.08</v>
      </c>
      <c r="R226" s="80">
        <v>958.97</v>
      </c>
      <c r="S226" s="81">
        <v>997.33</v>
      </c>
      <c r="T226" s="33">
        <v>998.2</v>
      </c>
      <c r="U226" s="34">
        <v>1048.1099999999999</v>
      </c>
      <c r="V226" s="35">
        <v>1100.52</v>
      </c>
      <c r="W226" s="34">
        <v>1155.55</v>
      </c>
      <c r="X226" s="35">
        <v>1213.32</v>
      </c>
      <c r="Y226" s="34">
        <v>1273.99</v>
      </c>
      <c r="Z226" s="36">
        <v>1337.69</v>
      </c>
    </row>
    <row r="227" spans="1:26" x14ac:dyDescent="0.2">
      <c r="A227" s="96">
        <v>41548</v>
      </c>
      <c r="B227" s="82">
        <v>783.5</v>
      </c>
      <c r="C227" s="28">
        <v>807.01</v>
      </c>
      <c r="D227" s="80">
        <v>831.22</v>
      </c>
      <c r="E227" s="28">
        <v>856.15</v>
      </c>
      <c r="F227" s="80">
        <v>881.84</v>
      </c>
      <c r="G227" s="81">
        <v>908.29</v>
      </c>
      <c r="H227" s="82">
        <v>783.5</v>
      </c>
      <c r="I227" s="28">
        <v>807.01</v>
      </c>
      <c r="J227" s="80">
        <v>831.22</v>
      </c>
      <c r="K227" s="28">
        <v>856.15</v>
      </c>
      <c r="L227" s="80">
        <v>881.84</v>
      </c>
      <c r="M227" s="81">
        <v>908.29</v>
      </c>
      <c r="N227" s="82">
        <v>819.73</v>
      </c>
      <c r="O227" s="28">
        <v>852.52</v>
      </c>
      <c r="P227" s="80">
        <v>886.62</v>
      </c>
      <c r="Q227" s="28">
        <v>922.08</v>
      </c>
      <c r="R227" s="80">
        <v>958.97</v>
      </c>
      <c r="S227" s="81">
        <v>997.33</v>
      </c>
      <c r="T227" s="33">
        <v>998.2</v>
      </c>
      <c r="U227" s="34">
        <v>1048.1099999999999</v>
      </c>
      <c r="V227" s="35">
        <v>1100.52</v>
      </c>
      <c r="W227" s="34">
        <v>1155.55</v>
      </c>
      <c r="X227" s="35">
        <v>1213.32</v>
      </c>
      <c r="Y227" s="34">
        <v>1273.99</v>
      </c>
      <c r="Z227" s="36">
        <v>1337.69</v>
      </c>
    </row>
    <row r="228" spans="1:26" x14ac:dyDescent="0.2">
      <c r="A228" s="96">
        <v>41579</v>
      </c>
      <c r="B228" s="82">
        <v>783.5</v>
      </c>
      <c r="C228" s="28">
        <v>807.01</v>
      </c>
      <c r="D228" s="80">
        <v>831.22</v>
      </c>
      <c r="E228" s="28">
        <v>856.15</v>
      </c>
      <c r="F228" s="80">
        <v>881.84</v>
      </c>
      <c r="G228" s="81">
        <v>908.29</v>
      </c>
      <c r="H228" s="82">
        <v>783.5</v>
      </c>
      <c r="I228" s="28">
        <v>807.01</v>
      </c>
      <c r="J228" s="80">
        <v>831.22</v>
      </c>
      <c r="K228" s="28">
        <v>856.15</v>
      </c>
      <c r="L228" s="80">
        <v>881.84</v>
      </c>
      <c r="M228" s="81">
        <v>908.29</v>
      </c>
      <c r="N228" s="82">
        <v>819.73</v>
      </c>
      <c r="O228" s="28">
        <v>852.52</v>
      </c>
      <c r="P228" s="80">
        <v>886.62</v>
      </c>
      <c r="Q228" s="28">
        <v>922.08</v>
      </c>
      <c r="R228" s="80">
        <v>958.97</v>
      </c>
      <c r="S228" s="81">
        <v>997.33</v>
      </c>
      <c r="T228" s="33">
        <v>998.2</v>
      </c>
      <c r="U228" s="34">
        <v>1048.1099999999999</v>
      </c>
      <c r="V228" s="35">
        <v>1100.52</v>
      </c>
      <c r="W228" s="34">
        <v>1155.55</v>
      </c>
      <c r="X228" s="35">
        <v>1213.32</v>
      </c>
      <c r="Y228" s="34">
        <v>1273.99</v>
      </c>
      <c r="Z228" s="36">
        <v>1337.69</v>
      </c>
    </row>
    <row r="229" spans="1:26" ht="13.5" thickBot="1" x14ac:dyDescent="0.25">
      <c r="A229" s="96">
        <v>41609</v>
      </c>
      <c r="B229" s="90">
        <v>783.5</v>
      </c>
      <c r="C229" s="87">
        <v>807.01</v>
      </c>
      <c r="D229" s="88">
        <v>831.22</v>
      </c>
      <c r="E229" s="87">
        <v>856.15</v>
      </c>
      <c r="F229" s="88">
        <v>881.84</v>
      </c>
      <c r="G229" s="89">
        <v>908.29</v>
      </c>
      <c r="H229" s="90">
        <v>783.5</v>
      </c>
      <c r="I229" s="87">
        <v>807.01</v>
      </c>
      <c r="J229" s="88">
        <v>831.22</v>
      </c>
      <c r="K229" s="87">
        <v>856.15</v>
      </c>
      <c r="L229" s="88">
        <v>881.84</v>
      </c>
      <c r="M229" s="89">
        <v>908.29</v>
      </c>
      <c r="N229" s="90">
        <v>819.73</v>
      </c>
      <c r="O229" s="87">
        <v>852.52</v>
      </c>
      <c r="P229" s="88">
        <v>886.62</v>
      </c>
      <c r="Q229" s="87">
        <v>922.08</v>
      </c>
      <c r="R229" s="88">
        <v>958.97</v>
      </c>
      <c r="S229" s="89">
        <v>997.33</v>
      </c>
      <c r="T229" s="45">
        <v>998.2</v>
      </c>
      <c r="U229" s="43">
        <v>1048.1099999999999</v>
      </c>
      <c r="V229" s="42">
        <v>1100.52</v>
      </c>
      <c r="W229" s="43">
        <v>1155.55</v>
      </c>
      <c r="X229" s="42">
        <v>1213.32</v>
      </c>
      <c r="Y229" s="43">
        <v>1273.99</v>
      </c>
      <c r="Z229" s="44">
        <v>1337.69</v>
      </c>
    </row>
    <row r="230" spans="1:26" x14ac:dyDescent="0.2">
      <c r="A230" s="96">
        <v>41640</v>
      </c>
      <c r="B230" s="100">
        <v>848.69</v>
      </c>
      <c r="C230" s="101">
        <v>874.15</v>
      </c>
      <c r="D230" s="102">
        <v>900.38</v>
      </c>
      <c r="E230" s="101">
        <v>927.38</v>
      </c>
      <c r="F230" s="102">
        <v>955.21</v>
      </c>
      <c r="G230" s="103">
        <v>983.86</v>
      </c>
      <c r="H230" s="100">
        <v>848.69</v>
      </c>
      <c r="I230" s="101">
        <v>874.15</v>
      </c>
      <c r="J230" s="102">
        <v>900.38</v>
      </c>
      <c r="K230" s="101">
        <v>927.38</v>
      </c>
      <c r="L230" s="102">
        <v>955.21</v>
      </c>
      <c r="M230" s="103">
        <v>983.86</v>
      </c>
      <c r="N230" s="100">
        <v>887.93</v>
      </c>
      <c r="O230" s="101">
        <v>923.45</v>
      </c>
      <c r="P230" s="102">
        <v>960.39</v>
      </c>
      <c r="Q230" s="101">
        <v>998.8</v>
      </c>
      <c r="R230" s="102">
        <v>1038.76</v>
      </c>
      <c r="S230" s="103">
        <v>1080.31</v>
      </c>
      <c r="T230" s="104">
        <v>1081.25</v>
      </c>
      <c r="U230" s="105">
        <v>1135.31</v>
      </c>
      <c r="V230" s="106">
        <v>1192.08</v>
      </c>
      <c r="W230" s="105">
        <v>1251.69</v>
      </c>
      <c r="X230" s="106">
        <v>1314.27</v>
      </c>
      <c r="Y230" s="105">
        <v>1379.99</v>
      </c>
      <c r="Z230" s="107">
        <v>1448.99</v>
      </c>
    </row>
    <row r="231" spans="1:26" x14ac:dyDescent="0.2">
      <c r="A231" s="96">
        <v>41671</v>
      </c>
      <c r="B231" s="82">
        <v>848.69</v>
      </c>
      <c r="C231" s="28">
        <v>874.15</v>
      </c>
      <c r="D231" s="80">
        <v>900.38</v>
      </c>
      <c r="E231" s="28">
        <v>927.38</v>
      </c>
      <c r="F231" s="80">
        <v>955.21</v>
      </c>
      <c r="G231" s="81">
        <v>983.86</v>
      </c>
      <c r="H231" s="82">
        <v>848.69</v>
      </c>
      <c r="I231" s="28">
        <v>874.15</v>
      </c>
      <c r="J231" s="80">
        <v>900.38</v>
      </c>
      <c r="K231" s="28">
        <v>927.38</v>
      </c>
      <c r="L231" s="80">
        <v>955.21</v>
      </c>
      <c r="M231" s="81">
        <v>983.86</v>
      </c>
      <c r="N231" s="82">
        <v>887.93</v>
      </c>
      <c r="O231" s="28">
        <v>923.45</v>
      </c>
      <c r="P231" s="80">
        <v>960.39</v>
      </c>
      <c r="Q231" s="28">
        <v>998.8</v>
      </c>
      <c r="R231" s="80">
        <v>1038.76</v>
      </c>
      <c r="S231" s="81">
        <v>1080.31</v>
      </c>
      <c r="T231" s="33">
        <v>1081.25</v>
      </c>
      <c r="U231" s="34">
        <v>1135.31</v>
      </c>
      <c r="V231" s="35">
        <v>1192.08</v>
      </c>
      <c r="W231" s="34">
        <v>1251.69</v>
      </c>
      <c r="X231" s="35">
        <v>1314.27</v>
      </c>
      <c r="Y231" s="34">
        <v>1379.99</v>
      </c>
      <c r="Z231" s="36">
        <v>1448.99</v>
      </c>
    </row>
    <row r="232" spans="1:26" x14ac:dyDescent="0.2">
      <c r="A232" s="96">
        <v>41699</v>
      </c>
      <c r="B232" s="82">
        <v>848.69</v>
      </c>
      <c r="C232" s="28">
        <v>874.15</v>
      </c>
      <c r="D232" s="80">
        <v>900.38</v>
      </c>
      <c r="E232" s="28">
        <v>927.38</v>
      </c>
      <c r="F232" s="80">
        <v>955.21</v>
      </c>
      <c r="G232" s="81">
        <v>983.86</v>
      </c>
      <c r="H232" s="82">
        <v>848.69</v>
      </c>
      <c r="I232" s="28">
        <v>874.15</v>
      </c>
      <c r="J232" s="80">
        <v>900.38</v>
      </c>
      <c r="K232" s="28">
        <v>927.38</v>
      </c>
      <c r="L232" s="80">
        <v>955.21</v>
      </c>
      <c r="M232" s="81">
        <v>983.86</v>
      </c>
      <c r="N232" s="82">
        <v>887.93</v>
      </c>
      <c r="O232" s="28">
        <v>923.45</v>
      </c>
      <c r="P232" s="80">
        <v>960.39</v>
      </c>
      <c r="Q232" s="28">
        <v>998.8</v>
      </c>
      <c r="R232" s="80">
        <v>1038.76</v>
      </c>
      <c r="S232" s="81">
        <v>1080.31</v>
      </c>
      <c r="T232" s="33">
        <v>1081.25</v>
      </c>
      <c r="U232" s="34">
        <v>1135.31</v>
      </c>
      <c r="V232" s="35">
        <v>1192.08</v>
      </c>
      <c r="W232" s="34">
        <v>1251.69</v>
      </c>
      <c r="X232" s="35">
        <v>1314.27</v>
      </c>
      <c r="Y232" s="34">
        <v>1379.99</v>
      </c>
      <c r="Z232" s="36">
        <v>1448.99</v>
      </c>
    </row>
    <row r="233" spans="1:26" x14ac:dyDescent="0.2">
      <c r="A233" s="96">
        <v>41730</v>
      </c>
      <c r="B233" s="82">
        <v>848.69</v>
      </c>
      <c r="C233" s="28">
        <v>874.15</v>
      </c>
      <c r="D233" s="80">
        <v>900.38</v>
      </c>
      <c r="E233" s="28">
        <v>927.38</v>
      </c>
      <c r="F233" s="80">
        <v>955.21</v>
      </c>
      <c r="G233" s="81">
        <v>983.86</v>
      </c>
      <c r="H233" s="82">
        <v>848.69</v>
      </c>
      <c r="I233" s="28">
        <v>874.15</v>
      </c>
      <c r="J233" s="80">
        <v>900.38</v>
      </c>
      <c r="K233" s="28">
        <v>927.38</v>
      </c>
      <c r="L233" s="80">
        <v>955.21</v>
      </c>
      <c r="M233" s="81">
        <v>983.86</v>
      </c>
      <c r="N233" s="82">
        <v>887.93</v>
      </c>
      <c r="O233" s="28">
        <v>923.45</v>
      </c>
      <c r="P233" s="80">
        <v>960.39</v>
      </c>
      <c r="Q233" s="28">
        <v>998.8</v>
      </c>
      <c r="R233" s="80">
        <v>1038.76</v>
      </c>
      <c r="S233" s="81">
        <v>1080.31</v>
      </c>
      <c r="T233" s="33">
        <v>1081.25</v>
      </c>
      <c r="U233" s="34">
        <v>1135.31</v>
      </c>
      <c r="V233" s="35">
        <v>1192.08</v>
      </c>
      <c r="W233" s="34">
        <v>1251.69</v>
      </c>
      <c r="X233" s="35">
        <v>1314.27</v>
      </c>
      <c r="Y233" s="34">
        <v>1379.99</v>
      </c>
      <c r="Z233" s="36">
        <v>1448.99</v>
      </c>
    </row>
    <row r="234" spans="1:26" x14ac:dyDescent="0.2">
      <c r="A234" s="96">
        <v>41760</v>
      </c>
      <c r="B234" s="82">
        <v>848.69</v>
      </c>
      <c r="C234" s="28">
        <v>874.15</v>
      </c>
      <c r="D234" s="80">
        <v>900.38</v>
      </c>
      <c r="E234" s="28">
        <v>927.38</v>
      </c>
      <c r="F234" s="80">
        <v>955.21</v>
      </c>
      <c r="G234" s="81">
        <v>983.86</v>
      </c>
      <c r="H234" s="82">
        <v>848.69</v>
      </c>
      <c r="I234" s="28">
        <v>874.15</v>
      </c>
      <c r="J234" s="80">
        <v>900.38</v>
      </c>
      <c r="K234" s="28">
        <v>927.38</v>
      </c>
      <c r="L234" s="80">
        <v>955.21</v>
      </c>
      <c r="M234" s="81">
        <v>983.86</v>
      </c>
      <c r="N234" s="82">
        <v>887.93</v>
      </c>
      <c r="O234" s="28">
        <v>923.45</v>
      </c>
      <c r="P234" s="80">
        <v>960.39</v>
      </c>
      <c r="Q234" s="28">
        <v>998.8</v>
      </c>
      <c r="R234" s="80">
        <v>1038.76</v>
      </c>
      <c r="S234" s="81">
        <v>1080.31</v>
      </c>
      <c r="T234" s="33">
        <v>1081.25</v>
      </c>
      <c r="U234" s="34">
        <v>1135.31</v>
      </c>
      <c r="V234" s="35">
        <v>1192.08</v>
      </c>
      <c r="W234" s="34">
        <v>1251.69</v>
      </c>
      <c r="X234" s="35">
        <v>1314.27</v>
      </c>
      <c r="Y234" s="34">
        <v>1379.99</v>
      </c>
      <c r="Z234" s="36">
        <v>1448.99</v>
      </c>
    </row>
    <row r="235" spans="1:26" x14ac:dyDescent="0.2">
      <c r="A235" s="96">
        <v>41791</v>
      </c>
      <c r="B235" s="82">
        <v>848.69</v>
      </c>
      <c r="C235" s="28">
        <v>874.15</v>
      </c>
      <c r="D235" s="80">
        <v>900.38</v>
      </c>
      <c r="E235" s="28">
        <v>927.38</v>
      </c>
      <c r="F235" s="80">
        <v>955.21</v>
      </c>
      <c r="G235" s="81">
        <v>983.86</v>
      </c>
      <c r="H235" s="82">
        <v>848.69</v>
      </c>
      <c r="I235" s="28">
        <v>874.15</v>
      </c>
      <c r="J235" s="80">
        <v>900.38</v>
      </c>
      <c r="K235" s="28">
        <v>927.38</v>
      </c>
      <c r="L235" s="80">
        <v>955.21</v>
      </c>
      <c r="M235" s="81">
        <v>983.86</v>
      </c>
      <c r="N235" s="82">
        <v>887.93</v>
      </c>
      <c r="O235" s="28">
        <v>923.45</v>
      </c>
      <c r="P235" s="80">
        <v>960.39</v>
      </c>
      <c r="Q235" s="28">
        <v>998.8</v>
      </c>
      <c r="R235" s="80">
        <v>1038.76</v>
      </c>
      <c r="S235" s="81">
        <v>1080.31</v>
      </c>
      <c r="T235" s="33">
        <v>1081.25</v>
      </c>
      <c r="U235" s="34">
        <v>1135.31</v>
      </c>
      <c r="V235" s="35">
        <v>1192.08</v>
      </c>
      <c r="W235" s="34">
        <v>1251.69</v>
      </c>
      <c r="X235" s="35">
        <v>1314.27</v>
      </c>
      <c r="Y235" s="34">
        <v>1379.99</v>
      </c>
      <c r="Z235" s="36">
        <v>1448.99</v>
      </c>
    </row>
    <row r="236" spans="1:26" x14ac:dyDescent="0.2">
      <c r="A236" s="96">
        <v>41821</v>
      </c>
      <c r="B236" s="82">
        <v>848.69</v>
      </c>
      <c r="C236" s="28">
        <v>874.15</v>
      </c>
      <c r="D236" s="80">
        <v>900.38</v>
      </c>
      <c r="E236" s="28">
        <v>927.38</v>
      </c>
      <c r="F236" s="80">
        <v>955.21</v>
      </c>
      <c r="G236" s="81">
        <v>983.86</v>
      </c>
      <c r="H236" s="82">
        <v>848.69</v>
      </c>
      <c r="I236" s="28">
        <v>874.15</v>
      </c>
      <c r="J236" s="80">
        <v>900.38</v>
      </c>
      <c r="K236" s="28">
        <v>927.38</v>
      </c>
      <c r="L236" s="80">
        <v>955.21</v>
      </c>
      <c r="M236" s="81">
        <v>983.86</v>
      </c>
      <c r="N236" s="82">
        <v>887.93</v>
      </c>
      <c r="O236" s="28">
        <v>923.45</v>
      </c>
      <c r="P236" s="80">
        <v>960.39</v>
      </c>
      <c r="Q236" s="28">
        <v>998.8</v>
      </c>
      <c r="R236" s="80">
        <v>1038.76</v>
      </c>
      <c r="S236" s="81">
        <v>1080.31</v>
      </c>
      <c r="T236" s="33">
        <v>1081.25</v>
      </c>
      <c r="U236" s="34">
        <v>1135.31</v>
      </c>
      <c r="V236" s="35">
        <v>1192.08</v>
      </c>
      <c r="W236" s="34">
        <v>1251.69</v>
      </c>
      <c r="X236" s="35">
        <v>1314.27</v>
      </c>
      <c r="Y236" s="34">
        <v>1379.99</v>
      </c>
      <c r="Z236" s="36">
        <v>1448.99</v>
      </c>
    </row>
    <row r="237" spans="1:26" x14ac:dyDescent="0.2">
      <c r="A237" s="96">
        <v>41852</v>
      </c>
      <c r="B237" s="82">
        <v>848.69</v>
      </c>
      <c r="C237" s="28">
        <v>874.15</v>
      </c>
      <c r="D237" s="80">
        <v>900.38</v>
      </c>
      <c r="E237" s="28">
        <v>927.38</v>
      </c>
      <c r="F237" s="80">
        <v>955.21</v>
      </c>
      <c r="G237" s="81">
        <v>983.86</v>
      </c>
      <c r="H237" s="82">
        <v>848.69</v>
      </c>
      <c r="I237" s="28">
        <v>874.15</v>
      </c>
      <c r="J237" s="80">
        <v>900.38</v>
      </c>
      <c r="K237" s="28">
        <v>927.38</v>
      </c>
      <c r="L237" s="80">
        <v>955.21</v>
      </c>
      <c r="M237" s="81">
        <v>983.86</v>
      </c>
      <c r="N237" s="82">
        <v>887.93</v>
      </c>
      <c r="O237" s="28">
        <v>923.45</v>
      </c>
      <c r="P237" s="80">
        <v>960.39</v>
      </c>
      <c r="Q237" s="28">
        <v>998.8</v>
      </c>
      <c r="R237" s="80">
        <v>1038.76</v>
      </c>
      <c r="S237" s="81">
        <v>1080.31</v>
      </c>
      <c r="T237" s="33">
        <v>1081.25</v>
      </c>
      <c r="U237" s="34">
        <v>1135.31</v>
      </c>
      <c r="V237" s="35">
        <v>1192.08</v>
      </c>
      <c r="W237" s="34">
        <v>1251.69</v>
      </c>
      <c r="X237" s="35">
        <v>1314.27</v>
      </c>
      <c r="Y237" s="34">
        <v>1379.99</v>
      </c>
      <c r="Z237" s="36">
        <v>1448.99</v>
      </c>
    </row>
    <row r="238" spans="1:26" x14ac:dyDescent="0.2">
      <c r="A238" s="96">
        <v>41883</v>
      </c>
      <c r="B238" s="82">
        <v>848.69</v>
      </c>
      <c r="C238" s="28">
        <v>874.15</v>
      </c>
      <c r="D238" s="80">
        <v>900.38</v>
      </c>
      <c r="E238" s="28">
        <v>927.38</v>
      </c>
      <c r="F238" s="80">
        <v>955.21</v>
      </c>
      <c r="G238" s="81">
        <v>983.86</v>
      </c>
      <c r="H238" s="82">
        <v>848.69</v>
      </c>
      <c r="I238" s="28">
        <v>874.15</v>
      </c>
      <c r="J238" s="80">
        <v>900.38</v>
      </c>
      <c r="K238" s="28">
        <v>927.38</v>
      </c>
      <c r="L238" s="80">
        <v>955.21</v>
      </c>
      <c r="M238" s="81">
        <v>983.86</v>
      </c>
      <c r="N238" s="82">
        <v>887.93</v>
      </c>
      <c r="O238" s="28">
        <v>923.45</v>
      </c>
      <c r="P238" s="80">
        <v>960.39</v>
      </c>
      <c r="Q238" s="28">
        <v>998.8</v>
      </c>
      <c r="R238" s="80">
        <v>1038.76</v>
      </c>
      <c r="S238" s="81">
        <v>1080.31</v>
      </c>
      <c r="T238" s="33">
        <v>1081.25</v>
      </c>
      <c r="U238" s="34">
        <v>1135.31</v>
      </c>
      <c r="V238" s="35">
        <v>1192.08</v>
      </c>
      <c r="W238" s="34">
        <v>1251.69</v>
      </c>
      <c r="X238" s="35">
        <v>1314.27</v>
      </c>
      <c r="Y238" s="34">
        <v>1379.99</v>
      </c>
      <c r="Z238" s="36">
        <v>1448.99</v>
      </c>
    </row>
    <row r="239" spans="1:26" x14ac:dyDescent="0.2">
      <c r="A239" s="96">
        <v>41913</v>
      </c>
      <c r="B239" s="82">
        <v>848.69</v>
      </c>
      <c r="C239" s="28">
        <v>874.15</v>
      </c>
      <c r="D239" s="80">
        <v>900.38</v>
      </c>
      <c r="E239" s="28">
        <v>927.38</v>
      </c>
      <c r="F239" s="80">
        <v>955.21</v>
      </c>
      <c r="G239" s="81">
        <v>983.86</v>
      </c>
      <c r="H239" s="82">
        <v>848.69</v>
      </c>
      <c r="I239" s="28">
        <v>874.15</v>
      </c>
      <c r="J239" s="80">
        <v>900.38</v>
      </c>
      <c r="K239" s="28">
        <v>927.38</v>
      </c>
      <c r="L239" s="80">
        <v>955.21</v>
      </c>
      <c r="M239" s="81">
        <v>983.86</v>
      </c>
      <c r="N239" s="82">
        <v>887.93</v>
      </c>
      <c r="O239" s="28">
        <v>923.45</v>
      </c>
      <c r="P239" s="80">
        <v>960.39</v>
      </c>
      <c r="Q239" s="28">
        <v>998.8</v>
      </c>
      <c r="R239" s="80">
        <v>1038.76</v>
      </c>
      <c r="S239" s="81">
        <v>1080.31</v>
      </c>
      <c r="T239" s="33">
        <v>1081.25</v>
      </c>
      <c r="U239" s="34">
        <v>1135.31</v>
      </c>
      <c r="V239" s="35">
        <v>1192.08</v>
      </c>
      <c r="W239" s="34">
        <v>1251.69</v>
      </c>
      <c r="X239" s="35">
        <v>1314.27</v>
      </c>
      <c r="Y239" s="34">
        <v>1379.99</v>
      </c>
      <c r="Z239" s="36">
        <v>1448.99</v>
      </c>
    </row>
    <row r="240" spans="1:26" x14ac:dyDescent="0.2">
      <c r="A240" s="96">
        <v>41944</v>
      </c>
      <c r="B240" s="82">
        <v>848.69</v>
      </c>
      <c r="C240" s="28">
        <v>874.15</v>
      </c>
      <c r="D240" s="80">
        <v>900.38</v>
      </c>
      <c r="E240" s="28">
        <v>927.38</v>
      </c>
      <c r="F240" s="80">
        <v>955.21</v>
      </c>
      <c r="G240" s="81">
        <v>983.86</v>
      </c>
      <c r="H240" s="82">
        <v>848.69</v>
      </c>
      <c r="I240" s="28">
        <v>874.15</v>
      </c>
      <c r="J240" s="80">
        <v>900.38</v>
      </c>
      <c r="K240" s="28">
        <v>927.38</v>
      </c>
      <c r="L240" s="80">
        <v>955.21</v>
      </c>
      <c r="M240" s="81">
        <v>983.86</v>
      </c>
      <c r="N240" s="82">
        <v>887.93</v>
      </c>
      <c r="O240" s="28">
        <v>923.45</v>
      </c>
      <c r="P240" s="80">
        <v>960.39</v>
      </c>
      <c r="Q240" s="28">
        <v>998.8</v>
      </c>
      <c r="R240" s="80">
        <v>1038.76</v>
      </c>
      <c r="S240" s="81">
        <v>1080.31</v>
      </c>
      <c r="T240" s="33">
        <v>1081.25</v>
      </c>
      <c r="U240" s="34">
        <v>1135.31</v>
      </c>
      <c r="V240" s="35">
        <v>1192.08</v>
      </c>
      <c r="W240" s="34">
        <v>1251.69</v>
      </c>
      <c r="X240" s="35">
        <v>1314.27</v>
      </c>
      <c r="Y240" s="34">
        <v>1379.99</v>
      </c>
      <c r="Z240" s="36">
        <v>1448.99</v>
      </c>
    </row>
    <row r="241" spans="1:26" ht="13.5" thickBot="1" x14ac:dyDescent="0.25">
      <c r="A241" s="96">
        <v>41974</v>
      </c>
      <c r="B241" s="90">
        <v>848.69</v>
      </c>
      <c r="C241" s="87">
        <v>874.15</v>
      </c>
      <c r="D241" s="88">
        <v>900.38</v>
      </c>
      <c r="E241" s="87">
        <v>927.38</v>
      </c>
      <c r="F241" s="88">
        <v>955.21</v>
      </c>
      <c r="G241" s="89">
        <v>983.86</v>
      </c>
      <c r="H241" s="90">
        <v>848.69</v>
      </c>
      <c r="I241" s="87">
        <v>874.15</v>
      </c>
      <c r="J241" s="88">
        <v>900.38</v>
      </c>
      <c r="K241" s="87">
        <v>927.38</v>
      </c>
      <c r="L241" s="88">
        <v>955.21</v>
      </c>
      <c r="M241" s="89">
        <v>983.86</v>
      </c>
      <c r="N241" s="90">
        <v>887.93</v>
      </c>
      <c r="O241" s="87">
        <v>923.45</v>
      </c>
      <c r="P241" s="88">
        <v>960.39</v>
      </c>
      <c r="Q241" s="87">
        <v>998.8</v>
      </c>
      <c r="R241" s="88">
        <v>1038.76</v>
      </c>
      <c r="S241" s="89">
        <v>1080.31</v>
      </c>
      <c r="T241" s="45">
        <v>1081.25</v>
      </c>
      <c r="U241" s="43">
        <v>1135.31</v>
      </c>
      <c r="V241" s="42">
        <v>1192.08</v>
      </c>
      <c r="W241" s="43">
        <v>1251.69</v>
      </c>
      <c r="X241" s="42">
        <v>1314.27</v>
      </c>
      <c r="Y241" s="43">
        <v>1379.99</v>
      </c>
      <c r="Z241" s="44">
        <v>1448.99</v>
      </c>
    </row>
    <row r="242" spans="1:26" x14ac:dyDescent="0.2">
      <c r="A242" s="95">
        <v>42005</v>
      </c>
      <c r="B242" s="100">
        <v>959.1</v>
      </c>
      <c r="C242" s="101">
        <v>987.88</v>
      </c>
      <c r="D242" s="102">
        <v>1017.52</v>
      </c>
      <c r="E242" s="101">
        <v>1048.03</v>
      </c>
      <c r="F242" s="102">
        <v>1079.48</v>
      </c>
      <c r="G242" s="103">
        <v>1111.8599999999999</v>
      </c>
      <c r="H242" s="100">
        <v>959.1</v>
      </c>
      <c r="I242" s="101">
        <v>987.88</v>
      </c>
      <c r="J242" s="102">
        <v>1017.52</v>
      </c>
      <c r="K242" s="101">
        <v>1048.03</v>
      </c>
      <c r="L242" s="102">
        <v>1079.48</v>
      </c>
      <c r="M242" s="103">
        <v>1111.8599999999999</v>
      </c>
      <c r="N242" s="100">
        <v>1003.45</v>
      </c>
      <c r="O242" s="101">
        <v>1043.5899999999999</v>
      </c>
      <c r="P242" s="102">
        <v>1085.3399999999999</v>
      </c>
      <c r="Q242" s="101">
        <v>1128.74</v>
      </c>
      <c r="R242" s="102">
        <v>1173.9000000000001</v>
      </c>
      <c r="S242" s="103">
        <v>1220.8599999999999</v>
      </c>
      <c r="T242" s="104">
        <v>1221.92</v>
      </c>
      <c r="U242" s="105">
        <v>1283.01</v>
      </c>
      <c r="V242" s="106">
        <v>1347.17</v>
      </c>
      <c r="W242" s="105">
        <v>1414.53</v>
      </c>
      <c r="X242" s="106">
        <v>1485.26</v>
      </c>
      <c r="Y242" s="105">
        <v>1559.53</v>
      </c>
      <c r="Z242" s="107">
        <v>1637.5</v>
      </c>
    </row>
    <row r="243" spans="1:26" x14ac:dyDescent="0.2">
      <c r="A243" s="96">
        <v>42036</v>
      </c>
      <c r="B243" s="82">
        <v>959.1</v>
      </c>
      <c r="C243" s="28">
        <v>987.88</v>
      </c>
      <c r="D243" s="80">
        <v>1017.52</v>
      </c>
      <c r="E243" s="28">
        <v>1048.03</v>
      </c>
      <c r="F243" s="80">
        <v>1079.48</v>
      </c>
      <c r="G243" s="81">
        <v>1111.8599999999999</v>
      </c>
      <c r="H243" s="82">
        <v>959.1</v>
      </c>
      <c r="I243" s="28">
        <v>987.88</v>
      </c>
      <c r="J243" s="80">
        <v>1017.52</v>
      </c>
      <c r="K243" s="28">
        <v>1048.03</v>
      </c>
      <c r="L243" s="80">
        <v>1079.48</v>
      </c>
      <c r="M243" s="81">
        <v>1111.8599999999999</v>
      </c>
      <c r="N243" s="82">
        <v>1003.45</v>
      </c>
      <c r="O243" s="28">
        <v>1043.5899999999999</v>
      </c>
      <c r="P243" s="80">
        <v>1085.3399999999999</v>
      </c>
      <c r="Q243" s="28">
        <v>1128.74</v>
      </c>
      <c r="R243" s="80">
        <v>1173.9000000000001</v>
      </c>
      <c r="S243" s="81">
        <v>1220.8599999999999</v>
      </c>
      <c r="T243" s="33">
        <v>1221.92</v>
      </c>
      <c r="U243" s="34">
        <v>1283.01</v>
      </c>
      <c r="V243" s="35">
        <v>1347.17</v>
      </c>
      <c r="W243" s="34">
        <v>1414.53</v>
      </c>
      <c r="X243" s="35">
        <v>1485.26</v>
      </c>
      <c r="Y243" s="34">
        <v>1559.53</v>
      </c>
      <c r="Z243" s="36">
        <v>1637.5</v>
      </c>
    </row>
    <row r="244" spans="1:26" x14ac:dyDescent="0.2">
      <c r="A244" s="96">
        <v>42064</v>
      </c>
      <c r="B244" s="82">
        <v>959.1</v>
      </c>
      <c r="C244" s="28">
        <v>987.88</v>
      </c>
      <c r="D244" s="80">
        <v>1017.52</v>
      </c>
      <c r="E244" s="28">
        <v>1048.03</v>
      </c>
      <c r="F244" s="80">
        <v>1079.48</v>
      </c>
      <c r="G244" s="81">
        <v>1111.8599999999999</v>
      </c>
      <c r="H244" s="82">
        <v>959.1</v>
      </c>
      <c r="I244" s="28">
        <v>987.88</v>
      </c>
      <c r="J244" s="80">
        <v>1017.52</v>
      </c>
      <c r="K244" s="28">
        <v>1048.03</v>
      </c>
      <c r="L244" s="80">
        <v>1079.48</v>
      </c>
      <c r="M244" s="81">
        <v>1111.8599999999999</v>
      </c>
      <c r="N244" s="82">
        <v>1003.45</v>
      </c>
      <c r="O244" s="28">
        <v>1043.5899999999999</v>
      </c>
      <c r="P244" s="80">
        <v>1085.3399999999999</v>
      </c>
      <c r="Q244" s="28">
        <v>1128.74</v>
      </c>
      <c r="R244" s="80">
        <v>1173.9000000000001</v>
      </c>
      <c r="S244" s="81">
        <v>1220.8599999999999</v>
      </c>
      <c r="T244" s="33">
        <v>1221.92</v>
      </c>
      <c r="U244" s="34">
        <v>1283.01</v>
      </c>
      <c r="V244" s="35">
        <v>1347.17</v>
      </c>
      <c r="W244" s="34">
        <v>1414.53</v>
      </c>
      <c r="X244" s="35">
        <v>1485.26</v>
      </c>
      <c r="Y244" s="34">
        <v>1559.53</v>
      </c>
      <c r="Z244" s="36">
        <v>1637.5</v>
      </c>
    </row>
    <row r="245" spans="1:26" x14ac:dyDescent="0.2">
      <c r="A245" s="96">
        <v>42095</v>
      </c>
      <c r="B245" s="82">
        <v>959.1</v>
      </c>
      <c r="C245" s="28">
        <v>987.88</v>
      </c>
      <c r="D245" s="80">
        <v>1017.52</v>
      </c>
      <c r="E245" s="28">
        <v>1048.03</v>
      </c>
      <c r="F245" s="80">
        <v>1079.48</v>
      </c>
      <c r="G245" s="81">
        <v>1111.8599999999999</v>
      </c>
      <c r="H245" s="82">
        <v>959.1</v>
      </c>
      <c r="I245" s="28">
        <v>987.88</v>
      </c>
      <c r="J245" s="80">
        <v>1017.52</v>
      </c>
      <c r="K245" s="28">
        <v>1048.03</v>
      </c>
      <c r="L245" s="80">
        <v>1079.48</v>
      </c>
      <c r="M245" s="81">
        <v>1111.8599999999999</v>
      </c>
      <c r="N245" s="82">
        <v>1003.45</v>
      </c>
      <c r="O245" s="28">
        <v>1043.5899999999999</v>
      </c>
      <c r="P245" s="80">
        <v>1085.3399999999999</v>
      </c>
      <c r="Q245" s="28">
        <v>1128.74</v>
      </c>
      <c r="R245" s="80">
        <v>1173.9000000000001</v>
      </c>
      <c r="S245" s="81">
        <v>1220.8599999999999</v>
      </c>
      <c r="T245" s="33">
        <v>1221.92</v>
      </c>
      <c r="U245" s="34">
        <v>1283.01</v>
      </c>
      <c r="V245" s="35">
        <v>1347.17</v>
      </c>
      <c r="W245" s="34">
        <v>1414.53</v>
      </c>
      <c r="X245" s="35">
        <v>1485.26</v>
      </c>
      <c r="Y245" s="34">
        <v>1559.53</v>
      </c>
      <c r="Z245" s="36">
        <v>1637.5</v>
      </c>
    </row>
    <row r="246" spans="1:26" x14ac:dyDescent="0.2">
      <c r="A246" s="96">
        <v>42125</v>
      </c>
      <c r="B246" s="82">
        <v>959.1</v>
      </c>
      <c r="C246" s="28">
        <v>987.88</v>
      </c>
      <c r="D246" s="80">
        <v>1017.52</v>
      </c>
      <c r="E246" s="28">
        <v>1048.03</v>
      </c>
      <c r="F246" s="80">
        <v>1079.48</v>
      </c>
      <c r="G246" s="81">
        <v>1111.8599999999999</v>
      </c>
      <c r="H246" s="82">
        <v>959.1</v>
      </c>
      <c r="I246" s="28">
        <v>987.88</v>
      </c>
      <c r="J246" s="80">
        <v>1017.52</v>
      </c>
      <c r="K246" s="28">
        <v>1048.03</v>
      </c>
      <c r="L246" s="80">
        <v>1079.48</v>
      </c>
      <c r="M246" s="81">
        <v>1111.8599999999999</v>
      </c>
      <c r="N246" s="82">
        <v>1003.45</v>
      </c>
      <c r="O246" s="28">
        <v>1043.5899999999999</v>
      </c>
      <c r="P246" s="80">
        <v>1085.3399999999999</v>
      </c>
      <c r="Q246" s="28">
        <v>1128.74</v>
      </c>
      <c r="R246" s="80">
        <v>1173.9000000000001</v>
      </c>
      <c r="S246" s="81">
        <v>1220.8599999999999</v>
      </c>
      <c r="T246" s="33">
        <v>1221.92</v>
      </c>
      <c r="U246" s="34">
        <v>1283.01</v>
      </c>
      <c r="V246" s="35">
        <v>1347.17</v>
      </c>
      <c r="W246" s="34">
        <v>1414.53</v>
      </c>
      <c r="X246" s="35">
        <v>1485.26</v>
      </c>
      <c r="Y246" s="34">
        <v>1559.53</v>
      </c>
      <c r="Z246" s="36">
        <v>1637.5</v>
      </c>
    </row>
    <row r="247" spans="1:26" x14ac:dyDescent="0.2">
      <c r="A247" s="96">
        <v>42156</v>
      </c>
      <c r="B247" s="82">
        <v>959.1</v>
      </c>
      <c r="C247" s="28">
        <v>987.88</v>
      </c>
      <c r="D247" s="80">
        <v>1017.52</v>
      </c>
      <c r="E247" s="28">
        <v>1048.03</v>
      </c>
      <c r="F247" s="80">
        <v>1079.48</v>
      </c>
      <c r="G247" s="81">
        <v>1111.8599999999999</v>
      </c>
      <c r="H247" s="82">
        <v>959.1</v>
      </c>
      <c r="I247" s="28">
        <v>987.88</v>
      </c>
      <c r="J247" s="80">
        <v>1017.52</v>
      </c>
      <c r="K247" s="28">
        <v>1048.03</v>
      </c>
      <c r="L247" s="80">
        <v>1079.48</v>
      </c>
      <c r="M247" s="81">
        <v>1111.8599999999999</v>
      </c>
      <c r="N247" s="82">
        <v>1003.45</v>
      </c>
      <c r="O247" s="28">
        <v>1043.5899999999999</v>
      </c>
      <c r="P247" s="80">
        <v>1085.3399999999999</v>
      </c>
      <c r="Q247" s="28">
        <v>1128.74</v>
      </c>
      <c r="R247" s="80">
        <v>1173.9000000000001</v>
      </c>
      <c r="S247" s="81">
        <v>1220.8599999999999</v>
      </c>
      <c r="T247" s="33">
        <v>1221.92</v>
      </c>
      <c r="U247" s="34">
        <v>1283.01</v>
      </c>
      <c r="V247" s="35">
        <v>1347.17</v>
      </c>
      <c r="W247" s="34">
        <v>1414.53</v>
      </c>
      <c r="X247" s="35">
        <v>1485.26</v>
      </c>
      <c r="Y247" s="34">
        <v>1559.53</v>
      </c>
      <c r="Z247" s="36">
        <v>1637.5</v>
      </c>
    </row>
    <row r="248" spans="1:26" x14ac:dyDescent="0.2">
      <c r="A248" s="96">
        <v>42186</v>
      </c>
      <c r="B248" s="82">
        <v>959.1</v>
      </c>
      <c r="C248" s="28">
        <v>987.88</v>
      </c>
      <c r="D248" s="80">
        <v>1017.52</v>
      </c>
      <c r="E248" s="28">
        <v>1048.03</v>
      </c>
      <c r="F248" s="80">
        <v>1079.48</v>
      </c>
      <c r="G248" s="81">
        <v>1111.8599999999999</v>
      </c>
      <c r="H248" s="82">
        <v>959.1</v>
      </c>
      <c r="I248" s="28">
        <v>987.88</v>
      </c>
      <c r="J248" s="80">
        <v>1017.52</v>
      </c>
      <c r="K248" s="28">
        <v>1048.03</v>
      </c>
      <c r="L248" s="80">
        <v>1079.48</v>
      </c>
      <c r="M248" s="81">
        <v>1111.8599999999999</v>
      </c>
      <c r="N248" s="82">
        <v>1003.45</v>
      </c>
      <c r="O248" s="28">
        <v>1043.5899999999999</v>
      </c>
      <c r="P248" s="80">
        <v>1085.3399999999999</v>
      </c>
      <c r="Q248" s="28">
        <v>1128.74</v>
      </c>
      <c r="R248" s="80">
        <v>1173.9000000000001</v>
      </c>
      <c r="S248" s="81">
        <v>1220.8599999999999</v>
      </c>
      <c r="T248" s="33">
        <v>1221.92</v>
      </c>
      <c r="U248" s="34">
        <v>1283.01</v>
      </c>
      <c r="V248" s="35">
        <v>1347.17</v>
      </c>
      <c r="W248" s="34">
        <v>1414.53</v>
      </c>
      <c r="X248" s="35">
        <v>1485.26</v>
      </c>
      <c r="Y248" s="34">
        <v>1559.53</v>
      </c>
      <c r="Z248" s="36">
        <v>1637.5</v>
      </c>
    </row>
    <row r="249" spans="1:26" x14ac:dyDescent="0.2">
      <c r="A249" s="96">
        <v>42217</v>
      </c>
      <c r="B249" s="82">
        <v>959.1</v>
      </c>
      <c r="C249" s="28">
        <v>987.88</v>
      </c>
      <c r="D249" s="80">
        <v>1017.52</v>
      </c>
      <c r="E249" s="28">
        <v>1048.03</v>
      </c>
      <c r="F249" s="80">
        <v>1079.48</v>
      </c>
      <c r="G249" s="81">
        <v>1111.8599999999999</v>
      </c>
      <c r="H249" s="82">
        <v>959.1</v>
      </c>
      <c r="I249" s="28">
        <v>987.88</v>
      </c>
      <c r="J249" s="80">
        <v>1017.52</v>
      </c>
      <c r="K249" s="28">
        <v>1048.03</v>
      </c>
      <c r="L249" s="80">
        <v>1079.48</v>
      </c>
      <c r="M249" s="81">
        <v>1111.8599999999999</v>
      </c>
      <c r="N249" s="82">
        <v>1003.45</v>
      </c>
      <c r="O249" s="28">
        <v>1043.5899999999999</v>
      </c>
      <c r="P249" s="80">
        <v>1085.3399999999999</v>
      </c>
      <c r="Q249" s="28">
        <v>1128.74</v>
      </c>
      <c r="R249" s="80">
        <v>1173.9000000000001</v>
      </c>
      <c r="S249" s="81">
        <v>1220.8599999999999</v>
      </c>
      <c r="T249" s="33">
        <v>1221.92</v>
      </c>
      <c r="U249" s="34">
        <v>1283.01</v>
      </c>
      <c r="V249" s="35">
        <v>1347.17</v>
      </c>
      <c r="W249" s="34">
        <v>1414.53</v>
      </c>
      <c r="X249" s="35">
        <v>1485.26</v>
      </c>
      <c r="Y249" s="34">
        <v>1559.53</v>
      </c>
      <c r="Z249" s="36">
        <v>1637.5</v>
      </c>
    </row>
    <row r="250" spans="1:26" x14ac:dyDescent="0.2">
      <c r="A250" s="96">
        <v>42248</v>
      </c>
      <c r="B250" s="82">
        <v>959.1</v>
      </c>
      <c r="C250" s="28">
        <v>987.88</v>
      </c>
      <c r="D250" s="80">
        <v>1017.52</v>
      </c>
      <c r="E250" s="28">
        <v>1048.03</v>
      </c>
      <c r="F250" s="80">
        <v>1079.48</v>
      </c>
      <c r="G250" s="81">
        <v>1111.8599999999999</v>
      </c>
      <c r="H250" s="82">
        <v>959.1</v>
      </c>
      <c r="I250" s="28">
        <v>987.88</v>
      </c>
      <c r="J250" s="80">
        <v>1017.52</v>
      </c>
      <c r="K250" s="28">
        <v>1048.03</v>
      </c>
      <c r="L250" s="80">
        <v>1079.48</v>
      </c>
      <c r="M250" s="81">
        <v>1111.8599999999999</v>
      </c>
      <c r="N250" s="82">
        <v>1003.45</v>
      </c>
      <c r="O250" s="28">
        <v>1043.5899999999999</v>
      </c>
      <c r="P250" s="80">
        <v>1085.3399999999999</v>
      </c>
      <c r="Q250" s="28">
        <v>1128.74</v>
      </c>
      <c r="R250" s="80">
        <v>1173.9000000000001</v>
      </c>
      <c r="S250" s="81">
        <v>1220.8599999999999</v>
      </c>
      <c r="T250" s="33">
        <v>1221.92</v>
      </c>
      <c r="U250" s="34">
        <v>1283.01</v>
      </c>
      <c r="V250" s="35">
        <v>1347.17</v>
      </c>
      <c r="W250" s="34">
        <v>1414.53</v>
      </c>
      <c r="X250" s="35">
        <v>1485.26</v>
      </c>
      <c r="Y250" s="34">
        <v>1559.53</v>
      </c>
      <c r="Z250" s="36">
        <v>1637.5</v>
      </c>
    </row>
    <row r="251" spans="1:26" x14ac:dyDescent="0.2">
      <c r="A251" s="96">
        <v>42278</v>
      </c>
      <c r="B251" s="82">
        <v>959.1</v>
      </c>
      <c r="C251" s="28">
        <v>987.88</v>
      </c>
      <c r="D251" s="80">
        <v>1017.52</v>
      </c>
      <c r="E251" s="28">
        <v>1048.03</v>
      </c>
      <c r="F251" s="80">
        <v>1079.48</v>
      </c>
      <c r="G251" s="81">
        <v>1111.8599999999999</v>
      </c>
      <c r="H251" s="82">
        <v>959.1</v>
      </c>
      <c r="I251" s="28">
        <v>987.88</v>
      </c>
      <c r="J251" s="80">
        <v>1017.52</v>
      </c>
      <c r="K251" s="28">
        <v>1048.03</v>
      </c>
      <c r="L251" s="80">
        <v>1079.48</v>
      </c>
      <c r="M251" s="81">
        <v>1111.8599999999999</v>
      </c>
      <c r="N251" s="82">
        <v>1003.45</v>
      </c>
      <c r="O251" s="28">
        <v>1043.5899999999999</v>
      </c>
      <c r="P251" s="80">
        <v>1085.3399999999999</v>
      </c>
      <c r="Q251" s="28">
        <v>1128.74</v>
      </c>
      <c r="R251" s="80">
        <v>1173.9000000000001</v>
      </c>
      <c r="S251" s="81">
        <v>1220.8599999999999</v>
      </c>
      <c r="T251" s="33">
        <v>1221.92</v>
      </c>
      <c r="U251" s="34">
        <v>1283.01</v>
      </c>
      <c r="V251" s="35">
        <v>1347.17</v>
      </c>
      <c r="W251" s="34">
        <v>1414.53</v>
      </c>
      <c r="X251" s="35">
        <v>1485.26</v>
      </c>
      <c r="Y251" s="34">
        <v>1559.53</v>
      </c>
      <c r="Z251" s="36">
        <v>1637.5</v>
      </c>
    </row>
    <row r="252" spans="1:26" x14ac:dyDescent="0.2">
      <c r="A252" s="96">
        <v>42309</v>
      </c>
      <c r="B252" s="82">
        <v>959.1</v>
      </c>
      <c r="C252" s="28">
        <v>987.88</v>
      </c>
      <c r="D252" s="80">
        <v>1017.52</v>
      </c>
      <c r="E252" s="28">
        <v>1048.03</v>
      </c>
      <c r="F252" s="80">
        <v>1079.48</v>
      </c>
      <c r="G252" s="81">
        <v>1111.8599999999999</v>
      </c>
      <c r="H252" s="82">
        <v>959.1</v>
      </c>
      <c r="I252" s="28">
        <v>987.88</v>
      </c>
      <c r="J252" s="80">
        <v>1017.52</v>
      </c>
      <c r="K252" s="28">
        <v>1048.03</v>
      </c>
      <c r="L252" s="80">
        <v>1079.48</v>
      </c>
      <c r="M252" s="81">
        <v>1111.8599999999999</v>
      </c>
      <c r="N252" s="82">
        <v>1003.45</v>
      </c>
      <c r="O252" s="28">
        <v>1043.5899999999999</v>
      </c>
      <c r="P252" s="80">
        <v>1085.3399999999999</v>
      </c>
      <c r="Q252" s="28">
        <v>1128.74</v>
      </c>
      <c r="R252" s="80">
        <v>1173.9000000000001</v>
      </c>
      <c r="S252" s="81">
        <v>1220.8599999999999</v>
      </c>
      <c r="T252" s="33">
        <v>1221.92</v>
      </c>
      <c r="U252" s="34">
        <v>1283.01</v>
      </c>
      <c r="V252" s="35">
        <v>1347.17</v>
      </c>
      <c r="W252" s="34">
        <v>1414.53</v>
      </c>
      <c r="X252" s="35">
        <v>1485.26</v>
      </c>
      <c r="Y252" s="34">
        <v>1559.53</v>
      </c>
      <c r="Z252" s="36">
        <v>1637.5</v>
      </c>
    </row>
    <row r="253" spans="1:26" ht="13.5" thickBot="1" x14ac:dyDescent="0.25">
      <c r="A253" s="96">
        <v>42339</v>
      </c>
      <c r="B253" s="90">
        <v>959.1</v>
      </c>
      <c r="C253" s="87">
        <v>987.88</v>
      </c>
      <c r="D253" s="88">
        <v>1017.52</v>
      </c>
      <c r="E253" s="87">
        <v>1048.03</v>
      </c>
      <c r="F253" s="88">
        <v>1079.48</v>
      </c>
      <c r="G253" s="89">
        <v>1111.8599999999999</v>
      </c>
      <c r="H253" s="90">
        <v>959.1</v>
      </c>
      <c r="I253" s="87">
        <v>987.88</v>
      </c>
      <c r="J253" s="88">
        <v>1017.52</v>
      </c>
      <c r="K253" s="87">
        <v>1048.03</v>
      </c>
      <c r="L253" s="88">
        <v>1079.48</v>
      </c>
      <c r="M253" s="89">
        <v>1111.8599999999999</v>
      </c>
      <c r="N253" s="90">
        <v>1003.45</v>
      </c>
      <c r="O253" s="87">
        <v>1043.5899999999999</v>
      </c>
      <c r="P253" s="88">
        <v>1085.3399999999999</v>
      </c>
      <c r="Q253" s="87">
        <v>1128.74</v>
      </c>
      <c r="R253" s="88">
        <v>1173.9000000000001</v>
      </c>
      <c r="S253" s="89">
        <v>1220.8599999999999</v>
      </c>
      <c r="T253" s="45">
        <v>1221.92</v>
      </c>
      <c r="U253" s="43">
        <v>1283.01</v>
      </c>
      <c r="V253" s="42">
        <v>1347.17</v>
      </c>
      <c r="W253" s="43">
        <v>1414.53</v>
      </c>
      <c r="X253" s="42">
        <v>1485.26</v>
      </c>
      <c r="Y253" s="43">
        <v>1559.53</v>
      </c>
      <c r="Z253" s="44">
        <v>1637.5</v>
      </c>
    </row>
    <row r="254" spans="1:26" x14ac:dyDescent="0.2">
      <c r="A254" s="96">
        <v>42370</v>
      </c>
      <c r="B254" s="100">
        <v>959.1</v>
      </c>
      <c r="C254" s="101">
        <v>987.88</v>
      </c>
      <c r="D254" s="102">
        <v>1017.52</v>
      </c>
      <c r="E254" s="101">
        <v>1048.03</v>
      </c>
      <c r="F254" s="102">
        <v>1079.48</v>
      </c>
      <c r="G254" s="103">
        <v>1111.8599999999999</v>
      </c>
      <c r="H254" s="100">
        <v>959.1</v>
      </c>
      <c r="I254" s="101">
        <v>987.88</v>
      </c>
      <c r="J254" s="102">
        <v>1017.52</v>
      </c>
      <c r="K254" s="101">
        <v>1048.03</v>
      </c>
      <c r="L254" s="102">
        <v>1079.48</v>
      </c>
      <c r="M254" s="103">
        <v>1111.8599999999999</v>
      </c>
      <c r="N254" s="100">
        <v>1003.45</v>
      </c>
      <c r="O254" s="101">
        <v>1043.5899999999999</v>
      </c>
      <c r="P254" s="102">
        <v>1085.3399999999999</v>
      </c>
      <c r="Q254" s="101">
        <v>1128.74</v>
      </c>
      <c r="R254" s="102">
        <v>1173.9000000000001</v>
      </c>
      <c r="S254" s="103">
        <v>1220.8599999999999</v>
      </c>
      <c r="T254" s="104">
        <v>1221.92</v>
      </c>
      <c r="U254" s="105">
        <v>1283.01</v>
      </c>
      <c r="V254" s="106">
        <v>1347.17</v>
      </c>
      <c r="W254" s="105">
        <v>1414.53</v>
      </c>
      <c r="X254" s="106">
        <v>1485.26</v>
      </c>
      <c r="Y254" s="105">
        <v>1559.53</v>
      </c>
      <c r="Z254" s="107">
        <v>1637.5</v>
      </c>
    </row>
    <row r="255" spans="1:26" x14ac:dyDescent="0.2">
      <c r="A255" s="96">
        <v>42401</v>
      </c>
      <c r="B255" s="82">
        <v>959.1</v>
      </c>
      <c r="C255" s="28">
        <v>987.88</v>
      </c>
      <c r="D255" s="80">
        <v>1017.52</v>
      </c>
      <c r="E255" s="28">
        <v>1048.03</v>
      </c>
      <c r="F255" s="80">
        <v>1079.48</v>
      </c>
      <c r="G255" s="81">
        <v>1111.8599999999999</v>
      </c>
      <c r="H255" s="82">
        <v>959.1</v>
      </c>
      <c r="I255" s="28">
        <v>987.88</v>
      </c>
      <c r="J255" s="80">
        <v>1017.52</v>
      </c>
      <c r="K255" s="28">
        <v>1048.03</v>
      </c>
      <c r="L255" s="80">
        <v>1079.48</v>
      </c>
      <c r="M255" s="81">
        <v>1111.8599999999999</v>
      </c>
      <c r="N255" s="82">
        <v>1003.45</v>
      </c>
      <c r="O255" s="28">
        <v>1043.5899999999999</v>
      </c>
      <c r="P255" s="80">
        <v>1085.3399999999999</v>
      </c>
      <c r="Q255" s="28">
        <v>1128.74</v>
      </c>
      <c r="R255" s="80">
        <v>1173.9000000000001</v>
      </c>
      <c r="S255" s="81">
        <v>1220.8599999999999</v>
      </c>
      <c r="T255" s="33">
        <v>1221.92</v>
      </c>
      <c r="U255" s="34">
        <v>1283.01</v>
      </c>
      <c r="V255" s="35">
        <v>1347.17</v>
      </c>
      <c r="W255" s="34">
        <v>1414.53</v>
      </c>
      <c r="X255" s="35">
        <v>1485.26</v>
      </c>
      <c r="Y255" s="34">
        <v>1559.53</v>
      </c>
      <c r="Z255" s="36">
        <v>1637.5</v>
      </c>
    </row>
    <row r="256" spans="1:26" x14ac:dyDescent="0.2">
      <c r="A256" s="96">
        <v>42430</v>
      </c>
      <c r="B256" s="82">
        <v>959.1</v>
      </c>
      <c r="C256" s="28">
        <v>987.88</v>
      </c>
      <c r="D256" s="80">
        <v>1017.52</v>
      </c>
      <c r="E256" s="28">
        <v>1048.03</v>
      </c>
      <c r="F256" s="80">
        <v>1079.48</v>
      </c>
      <c r="G256" s="81">
        <v>1111.8599999999999</v>
      </c>
      <c r="H256" s="82">
        <v>959.1</v>
      </c>
      <c r="I256" s="28">
        <v>987.88</v>
      </c>
      <c r="J256" s="80">
        <v>1017.52</v>
      </c>
      <c r="K256" s="28">
        <v>1048.03</v>
      </c>
      <c r="L256" s="80">
        <v>1079.48</v>
      </c>
      <c r="M256" s="81">
        <v>1111.8599999999999</v>
      </c>
      <c r="N256" s="82">
        <v>1003.45</v>
      </c>
      <c r="O256" s="28">
        <v>1043.5899999999999</v>
      </c>
      <c r="P256" s="80">
        <v>1085.3399999999999</v>
      </c>
      <c r="Q256" s="28">
        <v>1128.74</v>
      </c>
      <c r="R256" s="80">
        <v>1173.9000000000001</v>
      </c>
      <c r="S256" s="81">
        <v>1220.8599999999999</v>
      </c>
      <c r="T256" s="33">
        <v>1221.92</v>
      </c>
      <c r="U256" s="34">
        <v>1283.01</v>
      </c>
      <c r="V256" s="35">
        <v>1347.17</v>
      </c>
      <c r="W256" s="34">
        <v>1414.53</v>
      </c>
      <c r="X256" s="35">
        <v>1485.26</v>
      </c>
      <c r="Y256" s="34">
        <v>1559.53</v>
      </c>
      <c r="Z256" s="36">
        <v>1637.5</v>
      </c>
    </row>
    <row r="257" spans="1:26" x14ac:dyDescent="0.2">
      <c r="A257" s="96">
        <v>42461</v>
      </c>
      <c r="B257" s="82">
        <v>959.1</v>
      </c>
      <c r="C257" s="28">
        <v>987.88</v>
      </c>
      <c r="D257" s="80">
        <v>1017.52</v>
      </c>
      <c r="E257" s="28">
        <v>1048.03</v>
      </c>
      <c r="F257" s="80">
        <v>1079.48</v>
      </c>
      <c r="G257" s="81">
        <v>1111.8599999999999</v>
      </c>
      <c r="H257" s="82">
        <v>959.1</v>
      </c>
      <c r="I257" s="28">
        <v>987.88</v>
      </c>
      <c r="J257" s="80">
        <v>1017.52</v>
      </c>
      <c r="K257" s="28">
        <v>1048.03</v>
      </c>
      <c r="L257" s="80">
        <v>1079.48</v>
      </c>
      <c r="M257" s="81">
        <v>1111.8599999999999</v>
      </c>
      <c r="N257" s="82">
        <v>1003.45</v>
      </c>
      <c r="O257" s="28">
        <v>1043.5899999999999</v>
      </c>
      <c r="P257" s="80">
        <v>1085.3399999999999</v>
      </c>
      <c r="Q257" s="28">
        <v>1128.74</v>
      </c>
      <c r="R257" s="80">
        <v>1173.9000000000001</v>
      </c>
      <c r="S257" s="81">
        <v>1220.8599999999999</v>
      </c>
      <c r="T257" s="33">
        <v>1221.92</v>
      </c>
      <c r="U257" s="34">
        <v>1283.01</v>
      </c>
      <c r="V257" s="35">
        <v>1347.17</v>
      </c>
      <c r="W257" s="34">
        <v>1414.53</v>
      </c>
      <c r="X257" s="35">
        <v>1485.26</v>
      </c>
      <c r="Y257" s="34">
        <v>1559.53</v>
      </c>
      <c r="Z257" s="36">
        <v>1637.5</v>
      </c>
    </row>
    <row r="258" spans="1:26" x14ac:dyDescent="0.2">
      <c r="A258" s="96">
        <v>42491</v>
      </c>
      <c r="B258" s="82">
        <v>959.1</v>
      </c>
      <c r="C258" s="28">
        <v>987.88</v>
      </c>
      <c r="D258" s="80">
        <v>1017.52</v>
      </c>
      <c r="E258" s="28">
        <v>1048.03</v>
      </c>
      <c r="F258" s="80">
        <v>1079.48</v>
      </c>
      <c r="G258" s="81">
        <v>1111.8599999999999</v>
      </c>
      <c r="H258" s="82">
        <v>959.1</v>
      </c>
      <c r="I258" s="28">
        <v>987.88</v>
      </c>
      <c r="J258" s="80">
        <v>1017.52</v>
      </c>
      <c r="K258" s="28">
        <v>1048.03</v>
      </c>
      <c r="L258" s="80">
        <v>1079.48</v>
      </c>
      <c r="M258" s="81">
        <v>1111.8599999999999</v>
      </c>
      <c r="N258" s="82">
        <v>1003.45</v>
      </c>
      <c r="O258" s="28">
        <v>1043.5899999999999</v>
      </c>
      <c r="P258" s="80">
        <v>1085.3399999999999</v>
      </c>
      <c r="Q258" s="28">
        <v>1128.74</v>
      </c>
      <c r="R258" s="80">
        <v>1173.9000000000001</v>
      </c>
      <c r="S258" s="81">
        <v>1220.8599999999999</v>
      </c>
      <c r="T258" s="33">
        <v>1221.92</v>
      </c>
      <c r="U258" s="34">
        <v>1283.01</v>
      </c>
      <c r="V258" s="35">
        <v>1347.17</v>
      </c>
      <c r="W258" s="34">
        <v>1414.53</v>
      </c>
      <c r="X258" s="35">
        <v>1485.26</v>
      </c>
      <c r="Y258" s="34">
        <v>1559.53</v>
      </c>
      <c r="Z258" s="36">
        <v>1637.5</v>
      </c>
    </row>
    <row r="259" spans="1:26" x14ac:dyDescent="0.2">
      <c r="A259" s="96">
        <v>42522</v>
      </c>
      <c r="B259" s="82">
        <v>959.1</v>
      </c>
      <c r="C259" s="28">
        <v>987.88</v>
      </c>
      <c r="D259" s="80">
        <v>1017.52</v>
      </c>
      <c r="E259" s="28">
        <v>1048.03</v>
      </c>
      <c r="F259" s="80">
        <v>1079.48</v>
      </c>
      <c r="G259" s="81">
        <v>1111.8599999999999</v>
      </c>
      <c r="H259" s="82">
        <v>959.1</v>
      </c>
      <c r="I259" s="28">
        <v>987.88</v>
      </c>
      <c r="J259" s="80">
        <v>1017.52</v>
      </c>
      <c r="K259" s="28">
        <v>1048.03</v>
      </c>
      <c r="L259" s="80">
        <v>1079.48</v>
      </c>
      <c r="M259" s="81">
        <v>1111.8599999999999</v>
      </c>
      <c r="N259" s="82">
        <v>1003.45</v>
      </c>
      <c r="O259" s="28">
        <v>1043.5899999999999</v>
      </c>
      <c r="P259" s="80">
        <v>1085.3399999999999</v>
      </c>
      <c r="Q259" s="28">
        <v>1128.74</v>
      </c>
      <c r="R259" s="80">
        <v>1173.9000000000001</v>
      </c>
      <c r="S259" s="81">
        <v>1220.8599999999999</v>
      </c>
      <c r="T259" s="33">
        <v>1221.92</v>
      </c>
      <c r="U259" s="34">
        <v>1283.01</v>
      </c>
      <c r="V259" s="35">
        <v>1347.17</v>
      </c>
      <c r="W259" s="34">
        <v>1414.53</v>
      </c>
      <c r="X259" s="35">
        <v>1485.26</v>
      </c>
      <c r="Y259" s="34">
        <v>1559.53</v>
      </c>
      <c r="Z259" s="36">
        <v>1637.5</v>
      </c>
    </row>
    <row r="260" spans="1:26" x14ac:dyDescent="0.2">
      <c r="A260" s="96">
        <v>42552</v>
      </c>
      <c r="B260" s="82">
        <v>959.1</v>
      </c>
      <c r="C260" s="28">
        <v>987.88</v>
      </c>
      <c r="D260" s="80">
        <v>1017.52</v>
      </c>
      <c r="E260" s="28">
        <v>1048.03</v>
      </c>
      <c r="F260" s="80">
        <v>1079.48</v>
      </c>
      <c r="G260" s="81">
        <v>1111.8599999999999</v>
      </c>
      <c r="H260" s="82">
        <v>959.1</v>
      </c>
      <c r="I260" s="28">
        <v>987.88</v>
      </c>
      <c r="J260" s="80">
        <v>1017.52</v>
      </c>
      <c r="K260" s="28">
        <v>1048.03</v>
      </c>
      <c r="L260" s="80">
        <v>1079.48</v>
      </c>
      <c r="M260" s="81">
        <v>1111.8599999999999</v>
      </c>
      <c r="N260" s="82">
        <v>1003.45</v>
      </c>
      <c r="O260" s="28">
        <v>1043.5899999999999</v>
      </c>
      <c r="P260" s="80">
        <v>1085.3399999999999</v>
      </c>
      <c r="Q260" s="28">
        <v>1128.74</v>
      </c>
      <c r="R260" s="80">
        <v>1173.9000000000001</v>
      </c>
      <c r="S260" s="81">
        <v>1220.8599999999999</v>
      </c>
      <c r="T260" s="33">
        <v>1221.92</v>
      </c>
      <c r="U260" s="34">
        <v>1283.01</v>
      </c>
      <c r="V260" s="35">
        <v>1347.17</v>
      </c>
      <c r="W260" s="34">
        <v>1414.53</v>
      </c>
      <c r="X260" s="35">
        <v>1485.26</v>
      </c>
      <c r="Y260" s="34">
        <v>1559.53</v>
      </c>
      <c r="Z260" s="36">
        <v>1637.5</v>
      </c>
    </row>
    <row r="261" spans="1:26" x14ac:dyDescent="0.2">
      <c r="A261" s="96">
        <v>42583</v>
      </c>
      <c r="B261" s="82">
        <v>959.1</v>
      </c>
      <c r="C261" s="28">
        <v>987.88</v>
      </c>
      <c r="D261" s="80">
        <v>1017.52</v>
      </c>
      <c r="E261" s="28">
        <v>1048.03</v>
      </c>
      <c r="F261" s="80">
        <v>1079.48</v>
      </c>
      <c r="G261" s="81">
        <v>1111.8599999999999</v>
      </c>
      <c r="H261" s="82">
        <v>959.1</v>
      </c>
      <c r="I261" s="28">
        <v>987.88</v>
      </c>
      <c r="J261" s="80">
        <v>1017.52</v>
      </c>
      <c r="K261" s="28">
        <v>1048.03</v>
      </c>
      <c r="L261" s="80">
        <v>1079.48</v>
      </c>
      <c r="M261" s="81">
        <v>1111.8599999999999</v>
      </c>
      <c r="N261" s="82">
        <v>1003.45</v>
      </c>
      <c r="O261" s="28">
        <v>1043.5899999999999</v>
      </c>
      <c r="P261" s="80">
        <v>1085.3399999999999</v>
      </c>
      <c r="Q261" s="28">
        <v>1128.74</v>
      </c>
      <c r="R261" s="80">
        <v>1173.9000000000001</v>
      </c>
      <c r="S261" s="81">
        <v>1220.8599999999999</v>
      </c>
      <c r="T261" s="33">
        <v>1221.92</v>
      </c>
      <c r="U261" s="34">
        <v>1283.01</v>
      </c>
      <c r="V261" s="35">
        <v>1347.17</v>
      </c>
      <c r="W261" s="34">
        <v>1414.53</v>
      </c>
      <c r="X261" s="35">
        <v>1485.26</v>
      </c>
      <c r="Y261" s="34">
        <v>1559.53</v>
      </c>
      <c r="Z261" s="36">
        <v>1637.5</v>
      </c>
    </row>
    <row r="262" spans="1:26" x14ac:dyDescent="0.2">
      <c r="A262" s="96">
        <v>42614</v>
      </c>
      <c r="B262" s="82">
        <v>959.1</v>
      </c>
      <c r="C262" s="28">
        <v>987.88</v>
      </c>
      <c r="D262" s="80">
        <v>1017.52</v>
      </c>
      <c r="E262" s="28">
        <v>1048.03</v>
      </c>
      <c r="F262" s="80">
        <v>1079.48</v>
      </c>
      <c r="G262" s="81">
        <v>1111.8599999999999</v>
      </c>
      <c r="H262" s="82">
        <v>959.1</v>
      </c>
      <c r="I262" s="28">
        <v>987.88</v>
      </c>
      <c r="J262" s="80">
        <v>1017.52</v>
      </c>
      <c r="K262" s="28">
        <v>1048.03</v>
      </c>
      <c r="L262" s="80">
        <v>1079.48</v>
      </c>
      <c r="M262" s="81">
        <v>1111.8599999999999</v>
      </c>
      <c r="N262" s="82">
        <v>1003.45</v>
      </c>
      <c r="O262" s="28">
        <v>1043.5899999999999</v>
      </c>
      <c r="P262" s="80">
        <v>1085.3399999999999</v>
      </c>
      <c r="Q262" s="28">
        <v>1128.74</v>
      </c>
      <c r="R262" s="80">
        <v>1173.9000000000001</v>
      </c>
      <c r="S262" s="81">
        <v>1220.8599999999999</v>
      </c>
      <c r="T262" s="33">
        <v>1221.92</v>
      </c>
      <c r="U262" s="34">
        <v>1283.01</v>
      </c>
      <c r="V262" s="35">
        <v>1347.17</v>
      </c>
      <c r="W262" s="34">
        <v>1414.53</v>
      </c>
      <c r="X262" s="35">
        <v>1485.26</v>
      </c>
      <c r="Y262" s="34">
        <v>1559.53</v>
      </c>
      <c r="Z262" s="36">
        <v>1637.5</v>
      </c>
    </row>
    <row r="263" spans="1:26" x14ac:dyDescent="0.2">
      <c r="A263" s="96">
        <v>42644</v>
      </c>
      <c r="B263" s="82">
        <v>959.1</v>
      </c>
      <c r="C263" s="28">
        <v>987.88</v>
      </c>
      <c r="D263" s="80">
        <v>1017.52</v>
      </c>
      <c r="E263" s="28">
        <v>1048.03</v>
      </c>
      <c r="F263" s="80">
        <v>1079.48</v>
      </c>
      <c r="G263" s="81">
        <v>1111.8599999999999</v>
      </c>
      <c r="H263" s="82">
        <v>959.1</v>
      </c>
      <c r="I263" s="28">
        <v>987.88</v>
      </c>
      <c r="J263" s="80">
        <v>1017.52</v>
      </c>
      <c r="K263" s="28">
        <v>1048.03</v>
      </c>
      <c r="L263" s="80">
        <v>1079.48</v>
      </c>
      <c r="M263" s="81">
        <v>1111.8599999999999</v>
      </c>
      <c r="N263" s="82">
        <v>1003.45</v>
      </c>
      <c r="O263" s="28">
        <v>1043.5899999999999</v>
      </c>
      <c r="P263" s="80">
        <v>1085.3399999999999</v>
      </c>
      <c r="Q263" s="28">
        <v>1128.74</v>
      </c>
      <c r="R263" s="80">
        <v>1173.9000000000001</v>
      </c>
      <c r="S263" s="81">
        <v>1220.8599999999999</v>
      </c>
      <c r="T263" s="33">
        <v>1221.92</v>
      </c>
      <c r="U263" s="34">
        <v>1283.01</v>
      </c>
      <c r="V263" s="35">
        <v>1347.17</v>
      </c>
      <c r="W263" s="34">
        <v>1414.53</v>
      </c>
      <c r="X263" s="35">
        <v>1485.26</v>
      </c>
      <c r="Y263" s="34">
        <v>1559.53</v>
      </c>
      <c r="Z263" s="36">
        <v>1637.5</v>
      </c>
    </row>
    <row r="264" spans="1:26" x14ac:dyDescent="0.2">
      <c r="A264" s="96">
        <v>42675</v>
      </c>
      <c r="B264" s="82">
        <v>959.1</v>
      </c>
      <c r="C264" s="28">
        <v>987.88</v>
      </c>
      <c r="D264" s="80">
        <v>1017.52</v>
      </c>
      <c r="E264" s="28">
        <v>1048.03</v>
      </c>
      <c r="F264" s="80">
        <v>1079.48</v>
      </c>
      <c r="G264" s="81">
        <v>1111.8599999999999</v>
      </c>
      <c r="H264" s="82">
        <v>959.1</v>
      </c>
      <c r="I264" s="28">
        <v>987.88</v>
      </c>
      <c r="J264" s="80">
        <v>1017.52</v>
      </c>
      <c r="K264" s="28">
        <v>1048.03</v>
      </c>
      <c r="L264" s="80">
        <v>1079.48</v>
      </c>
      <c r="M264" s="81">
        <v>1111.8599999999999</v>
      </c>
      <c r="N264" s="82">
        <v>1003.45</v>
      </c>
      <c r="O264" s="28">
        <v>1043.5899999999999</v>
      </c>
      <c r="P264" s="80">
        <v>1085.3399999999999</v>
      </c>
      <c r="Q264" s="28">
        <v>1128.74</v>
      </c>
      <c r="R264" s="80">
        <v>1173.9000000000001</v>
      </c>
      <c r="S264" s="81">
        <v>1220.8599999999999</v>
      </c>
      <c r="T264" s="33">
        <v>1221.92</v>
      </c>
      <c r="U264" s="34">
        <v>1283.01</v>
      </c>
      <c r="V264" s="35">
        <v>1347.17</v>
      </c>
      <c r="W264" s="34">
        <v>1414.53</v>
      </c>
      <c r="X264" s="35">
        <v>1485.26</v>
      </c>
      <c r="Y264" s="34">
        <v>1559.53</v>
      </c>
      <c r="Z264" s="36">
        <v>1637.5</v>
      </c>
    </row>
    <row r="265" spans="1:26" ht="13.5" thickBot="1" x14ac:dyDescent="0.25">
      <c r="A265" s="96">
        <v>42705</v>
      </c>
      <c r="B265" s="90">
        <v>959.1</v>
      </c>
      <c r="C265" s="87">
        <v>987.88</v>
      </c>
      <c r="D265" s="88">
        <v>1017.52</v>
      </c>
      <c r="E265" s="87">
        <v>1048.03</v>
      </c>
      <c r="F265" s="88">
        <v>1079.48</v>
      </c>
      <c r="G265" s="89">
        <v>1111.8599999999999</v>
      </c>
      <c r="H265" s="90">
        <v>959.1</v>
      </c>
      <c r="I265" s="87">
        <v>987.88</v>
      </c>
      <c r="J265" s="88">
        <v>1017.52</v>
      </c>
      <c r="K265" s="87">
        <v>1048.03</v>
      </c>
      <c r="L265" s="88">
        <v>1079.48</v>
      </c>
      <c r="M265" s="89">
        <v>1111.8599999999999</v>
      </c>
      <c r="N265" s="90">
        <v>1003.45</v>
      </c>
      <c r="O265" s="87">
        <v>1043.5899999999999</v>
      </c>
      <c r="P265" s="88">
        <v>1085.3399999999999</v>
      </c>
      <c r="Q265" s="87">
        <v>1128.74</v>
      </c>
      <c r="R265" s="88">
        <v>1173.9000000000001</v>
      </c>
      <c r="S265" s="89">
        <v>1220.8599999999999</v>
      </c>
      <c r="T265" s="45">
        <v>1221.92</v>
      </c>
      <c r="U265" s="43">
        <v>1283.01</v>
      </c>
      <c r="V265" s="42">
        <v>1347.17</v>
      </c>
      <c r="W265" s="43">
        <v>1414.53</v>
      </c>
      <c r="X265" s="42">
        <v>1485.26</v>
      </c>
      <c r="Y265" s="43">
        <v>1559.53</v>
      </c>
      <c r="Z265" s="44">
        <v>1637.5</v>
      </c>
    </row>
    <row r="266" spans="1:26" x14ac:dyDescent="0.2">
      <c r="A266" s="96">
        <v>42736</v>
      </c>
      <c r="B266" s="100">
        <v>959.1</v>
      </c>
      <c r="C266" s="101">
        <v>987.88</v>
      </c>
      <c r="D266" s="102">
        <v>1017.52</v>
      </c>
      <c r="E266" s="101">
        <v>1048.03</v>
      </c>
      <c r="F266" s="102">
        <v>1079.48</v>
      </c>
      <c r="G266" s="103">
        <v>1111.8599999999999</v>
      </c>
      <c r="H266" s="100">
        <v>959.1</v>
      </c>
      <c r="I266" s="101">
        <v>987.88</v>
      </c>
      <c r="J266" s="102">
        <v>1017.52</v>
      </c>
      <c r="K266" s="101">
        <v>1048.03</v>
      </c>
      <c r="L266" s="102">
        <v>1079.48</v>
      </c>
      <c r="M266" s="103">
        <v>1111.8599999999999</v>
      </c>
      <c r="N266" s="100">
        <v>1003.45</v>
      </c>
      <c r="O266" s="101">
        <v>1043.5899999999999</v>
      </c>
      <c r="P266" s="102">
        <v>1085.3399999999999</v>
      </c>
      <c r="Q266" s="101">
        <v>1128.74</v>
      </c>
      <c r="R266" s="102">
        <v>1173.9000000000001</v>
      </c>
      <c r="S266" s="103">
        <v>1220.8599999999999</v>
      </c>
      <c r="T266" s="104">
        <v>1221.92</v>
      </c>
      <c r="U266" s="105">
        <v>1283.01</v>
      </c>
      <c r="V266" s="106">
        <v>1347.17</v>
      </c>
      <c r="W266" s="105">
        <v>1414.53</v>
      </c>
      <c r="X266" s="106">
        <v>1485.26</v>
      </c>
      <c r="Y266" s="105">
        <v>1559.53</v>
      </c>
      <c r="Z266" s="107">
        <v>1637.5</v>
      </c>
    </row>
    <row r="267" spans="1:26" x14ac:dyDescent="0.2">
      <c r="A267" s="96">
        <v>42767</v>
      </c>
      <c r="B267" s="82">
        <v>959.1</v>
      </c>
      <c r="C267" s="28">
        <v>987.88</v>
      </c>
      <c r="D267" s="80">
        <v>1017.52</v>
      </c>
      <c r="E267" s="28">
        <v>1048.03</v>
      </c>
      <c r="F267" s="80">
        <v>1079.48</v>
      </c>
      <c r="G267" s="81">
        <v>1111.8599999999999</v>
      </c>
      <c r="H267" s="82">
        <v>959.1</v>
      </c>
      <c r="I267" s="28">
        <v>987.88</v>
      </c>
      <c r="J267" s="80">
        <v>1017.52</v>
      </c>
      <c r="K267" s="28">
        <v>1048.03</v>
      </c>
      <c r="L267" s="80">
        <v>1079.48</v>
      </c>
      <c r="M267" s="81">
        <v>1111.8599999999999</v>
      </c>
      <c r="N267" s="82">
        <v>1003.45</v>
      </c>
      <c r="O267" s="28">
        <v>1043.5899999999999</v>
      </c>
      <c r="P267" s="80">
        <v>1085.3399999999999</v>
      </c>
      <c r="Q267" s="28">
        <v>1128.74</v>
      </c>
      <c r="R267" s="80">
        <v>1173.9000000000001</v>
      </c>
      <c r="S267" s="81">
        <v>1220.8599999999999</v>
      </c>
      <c r="T267" s="33">
        <v>1221.92</v>
      </c>
      <c r="U267" s="34">
        <v>1283.01</v>
      </c>
      <c r="V267" s="35">
        <v>1347.17</v>
      </c>
      <c r="W267" s="34">
        <v>1414.53</v>
      </c>
      <c r="X267" s="35">
        <v>1485.26</v>
      </c>
      <c r="Y267" s="34">
        <v>1559.53</v>
      </c>
      <c r="Z267" s="36">
        <v>1637.5</v>
      </c>
    </row>
    <row r="268" spans="1:26" x14ac:dyDescent="0.2">
      <c r="A268" s="96">
        <v>42795</v>
      </c>
      <c r="B268" s="82">
        <v>959.1</v>
      </c>
      <c r="C268" s="28">
        <v>987.88</v>
      </c>
      <c r="D268" s="80">
        <v>1017.52</v>
      </c>
      <c r="E268" s="28">
        <v>1048.03</v>
      </c>
      <c r="F268" s="80">
        <v>1079.48</v>
      </c>
      <c r="G268" s="81">
        <v>1150</v>
      </c>
      <c r="H268" s="82">
        <v>959.1</v>
      </c>
      <c r="I268" s="28">
        <v>987.88</v>
      </c>
      <c r="J268" s="80">
        <v>1017.52</v>
      </c>
      <c r="K268" s="28">
        <v>1048.03</v>
      </c>
      <c r="L268" s="80">
        <v>1079.48</v>
      </c>
      <c r="M268" s="81">
        <v>1150</v>
      </c>
      <c r="N268" s="82">
        <v>1003.45</v>
      </c>
      <c r="O268" s="28">
        <v>1043.5899999999999</v>
      </c>
      <c r="P268" s="80">
        <v>1085.3399999999999</v>
      </c>
      <c r="Q268" s="28">
        <v>1128.74</v>
      </c>
      <c r="R268" s="80">
        <v>1173.9000000000001</v>
      </c>
      <c r="S268" s="81">
        <v>1220.8599999999999</v>
      </c>
      <c r="T268" s="33">
        <v>1221.92</v>
      </c>
      <c r="U268" s="34">
        <v>1283.01</v>
      </c>
      <c r="V268" s="35">
        <v>1347.17</v>
      </c>
      <c r="W268" s="34">
        <v>1414.53</v>
      </c>
      <c r="X268" s="35">
        <v>1485.26</v>
      </c>
      <c r="Y268" s="34">
        <v>1559.53</v>
      </c>
      <c r="Z268" s="36">
        <v>1637.5</v>
      </c>
    </row>
    <row r="269" spans="1:26" x14ac:dyDescent="0.2">
      <c r="A269" s="96">
        <v>42826</v>
      </c>
      <c r="B269" s="82">
        <v>959.1</v>
      </c>
      <c r="C269" s="28">
        <v>987.88</v>
      </c>
      <c r="D269" s="80">
        <v>1017.52</v>
      </c>
      <c r="E269" s="28">
        <v>1048.03</v>
      </c>
      <c r="F269" s="80">
        <v>1079.48</v>
      </c>
      <c r="G269" s="81">
        <v>1150</v>
      </c>
      <c r="H269" s="82">
        <v>959.1</v>
      </c>
      <c r="I269" s="28">
        <v>987.88</v>
      </c>
      <c r="J269" s="80">
        <v>1017.52</v>
      </c>
      <c r="K269" s="28">
        <v>1048.03</v>
      </c>
      <c r="L269" s="80">
        <v>1079.48</v>
      </c>
      <c r="M269" s="81">
        <v>1150</v>
      </c>
      <c r="N269" s="82">
        <v>1003.45</v>
      </c>
      <c r="O269" s="28">
        <v>1043.5899999999999</v>
      </c>
      <c r="P269" s="80">
        <v>1085.3399999999999</v>
      </c>
      <c r="Q269" s="28">
        <v>1128.74</v>
      </c>
      <c r="R269" s="80">
        <v>1173.9000000000001</v>
      </c>
      <c r="S269" s="81">
        <v>1220.8599999999999</v>
      </c>
      <c r="T269" s="33">
        <v>1221.92</v>
      </c>
      <c r="U269" s="34">
        <v>1283.01</v>
      </c>
      <c r="V269" s="35">
        <v>1347.17</v>
      </c>
      <c r="W269" s="34">
        <v>1414.53</v>
      </c>
      <c r="X269" s="35">
        <v>1485.26</v>
      </c>
      <c r="Y269" s="34">
        <v>1559.53</v>
      </c>
      <c r="Z269" s="36">
        <v>1637.5</v>
      </c>
    </row>
    <row r="270" spans="1:26" x14ac:dyDescent="0.2">
      <c r="A270" s="96">
        <v>42856</v>
      </c>
      <c r="B270" s="82">
        <v>959.1</v>
      </c>
      <c r="C270" s="28">
        <v>987.88</v>
      </c>
      <c r="D270" s="80">
        <v>1017.52</v>
      </c>
      <c r="E270" s="28">
        <v>1048.03</v>
      </c>
      <c r="F270" s="80">
        <v>1079.48</v>
      </c>
      <c r="G270" s="81">
        <v>1150</v>
      </c>
      <c r="H270" s="82">
        <v>959.1</v>
      </c>
      <c r="I270" s="28">
        <v>987.88</v>
      </c>
      <c r="J270" s="80">
        <v>1017.52</v>
      </c>
      <c r="K270" s="28">
        <v>1048.03</v>
      </c>
      <c r="L270" s="80">
        <v>1079.48</v>
      </c>
      <c r="M270" s="81">
        <v>1150</v>
      </c>
      <c r="N270" s="82">
        <v>1003.45</v>
      </c>
      <c r="O270" s="28">
        <v>1043.5899999999999</v>
      </c>
      <c r="P270" s="80">
        <v>1085.3399999999999</v>
      </c>
      <c r="Q270" s="28">
        <v>1128.74</v>
      </c>
      <c r="R270" s="80">
        <v>1173.9000000000001</v>
      </c>
      <c r="S270" s="81">
        <v>1220.8599999999999</v>
      </c>
      <c r="T270" s="33">
        <v>1221.92</v>
      </c>
      <c r="U270" s="34">
        <v>1283.01</v>
      </c>
      <c r="V270" s="35">
        <v>1347.17</v>
      </c>
      <c r="W270" s="34">
        <v>1414.53</v>
      </c>
      <c r="X270" s="35">
        <v>1485.26</v>
      </c>
      <c r="Y270" s="34">
        <v>1559.53</v>
      </c>
      <c r="Z270" s="36">
        <v>1637.5</v>
      </c>
    </row>
    <row r="271" spans="1:26" x14ac:dyDescent="0.2">
      <c r="A271" s="96">
        <v>42887</v>
      </c>
      <c r="B271" s="82">
        <v>959.1</v>
      </c>
      <c r="C271" s="28">
        <v>987.88</v>
      </c>
      <c r="D271" s="80">
        <v>1017.52</v>
      </c>
      <c r="E271" s="28">
        <v>1048.03</v>
      </c>
      <c r="F271" s="80">
        <v>1079.48</v>
      </c>
      <c r="G271" s="81">
        <v>1150</v>
      </c>
      <c r="H271" s="82">
        <v>959.1</v>
      </c>
      <c r="I271" s="28">
        <v>987.88</v>
      </c>
      <c r="J271" s="80">
        <v>1017.52</v>
      </c>
      <c r="K271" s="28">
        <v>1048.03</v>
      </c>
      <c r="L271" s="80">
        <v>1079.48</v>
      </c>
      <c r="M271" s="81">
        <v>1150</v>
      </c>
      <c r="N271" s="82">
        <v>1003.45</v>
      </c>
      <c r="O271" s="28">
        <v>1043.5899999999999</v>
      </c>
      <c r="P271" s="80">
        <v>1085.3399999999999</v>
      </c>
      <c r="Q271" s="28">
        <v>1128.74</v>
      </c>
      <c r="R271" s="80">
        <v>1173.9000000000001</v>
      </c>
      <c r="S271" s="81">
        <v>1220.8599999999999</v>
      </c>
      <c r="T271" s="33">
        <v>1221.92</v>
      </c>
      <c r="U271" s="34">
        <v>1283.01</v>
      </c>
      <c r="V271" s="35">
        <v>1347.17</v>
      </c>
      <c r="W271" s="34">
        <v>1414.53</v>
      </c>
      <c r="X271" s="35">
        <v>1485.26</v>
      </c>
      <c r="Y271" s="34">
        <v>1559.53</v>
      </c>
      <c r="Z271" s="36">
        <v>1637.5</v>
      </c>
    </row>
    <row r="272" spans="1:26" x14ac:dyDescent="0.2">
      <c r="A272" s="96">
        <v>42917</v>
      </c>
      <c r="B272" s="82">
        <v>959.1</v>
      </c>
      <c r="C272" s="28">
        <v>987.88</v>
      </c>
      <c r="D272" s="80">
        <v>1017.52</v>
      </c>
      <c r="E272" s="28">
        <v>1048.03</v>
      </c>
      <c r="F272" s="80">
        <v>1079.48</v>
      </c>
      <c r="G272" s="81">
        <v>1150</v>
      </c>
      <c r="H272" s="82">
        <v>959.1</v>
      </c>
      <c r="I272" s="28">
        <v>987.88</v>
      </c>
      <c r="J272" s="80">
        <v>1017.52</v>
      </c>
      <c r="K272" s="28">
        <v>1048.03</v>
      </c>
      <c r="L272" s="80">
        <v>1079.48</v>
      </c>
      <c r="M272" s="81">
        <v>1150</v>
      </c>
      <c r="N272" s="82">
        <v>1003.45</v>
      </c>
      <c r="O272" s="28">
        <v>1043.5899999999999</v>
      </c>
      <c r="P272" s="80">
        <v>1085.3399999999999</v>
      </c>
      <c r="Q272" s="28">
        <v>1128.74</v>
      </c>
      <c r="R272" s="80">
        <v>1173.9000000000001</v>
      </c>
      <c r="S272" s="81">
        <v>1220.8599999999999</v>
      </c>
      <c r="T272" s="33">
        <v>1221.92</v>
      </c>
      <c r="U272" s="34">
        <v>1283.01</v>
      </c>
      <c r="V272" s="35">
        <v>1347.17</v>
      </c>
      <c r="W272" s="34">
        <v>1414.53</v>
      </c>
      <c r="X272" s="35">
        <v>1485.26</v>
      </c>
      <c r="Y272" s="34">
        <v>1559.53</v>
      </c>
      <c r="Z272" s="36">
        <v>1637.5</v>
      </c>
    </row>
    <row r="273" spans="1:26" x14ac:dyDescent="0.2">
      <c r="A273" s="96">
        <v>42948</v>
      </c>
      <c r="B273" s="82">
        <v>959.1</v>
      </c>
      <c r="C273" s="28">
        <v>987.88</v>
      </c>
      <c r="D273" s="80">
        <v>1017.52</v>
      </c>
      <c r="E273" s="28">
        <v>1048.03</v>
      </c>
      <c r="F273" s="80">
        <v>1079.48</v>
      </c>
      <c r="G273" s="81">
        <v>1150</v>
      </c>
      <c r="H273" s="82">
        <v>959.1</v>
      </c>
      <c r="I273" s="28">
        <v>987.88</v>
      </c>
      <c r="J273" s="80">
        <v>1017.52</v>
      </c>
      <c r="K273" s="28">
        <v>1048.03</v>
      </c>
      <c r="L273" s="80">
        <v>1079.48</v>
      </c>
      <c r="M273" s="81">
        <v>1150</v>
      </c>
      <c r="N273" s="82">
        <v>1003.45</v>
      </c>
      <c r="O273" s="28">
        <v>1043.5899999999999</v>
      </c>
      <c r="P273" s="80">
        <v>1085.3399999999999</v>
      </c>
      <c r="Q273" s="28">
        <v>1128.74</v>
      </c>
      <c r="R273" s="80">
        <v>1173.9000000000001</v>
      </c>
      <c r="S273" s="81">
        <v>1220.8599999999999</v>
      </c>
      <c r="T273" s="33">
        <v>1221.92</v>
      </c>
      <c r="U273" s="34">
        <v>1283.01</v>
      </c>
      <c r="V273" s="35">
        <v>1347.17</v>
      </c>
      <c r="W273" s="34">
        <v>1414.53</v>
      </c>
      <c r="X273" s="35">
        <v>1485.26</v>
      </c>
      <c r="Y273" s="34">
        <v>1559.53</v>
      </c>
      <c r="Z273" s="36">
        <v>1637.5</v>
      </c>
    </row>
    <row r="274" spans="1:26" x14ac:dyDescent="0.2">
      <c r="A274" s="96">
        <v>42979</v>
      </c>
      <c r="B274" s="82">
        <v>959.1</v>
      </c>
      <c r="C274" s="28">
        <v>987.88</v>
      </c>
      <c r="D274" s="80">
        <v>1017.52</v>
      </c>
      <c r="E274" s="28">
        <v>1048.03</v>
      </c>
      <c r="F274" s="80">
        <v>1079.48</v>
      </c>
      <c r="G274" s="81">
        <v>1150</v>
      </c>
      <c r="H274" s="82">
        <v>959.1</v>
      </c>
      <c r="I274" s="28">
        <v>987.88</v>
      </c>
      <c r="J274" s="80">
        <v>1017.52</v>
      </c>
      <c r="K274" s="28">
        <v>1048.03</v>
      </c>
      <c r="L274" s="80">
        <v>1079.48</v>
      </c>
      <c r="M274" s="81">
        <v>1150</v>
      </c>
      <c r="N274" s="82">
        <v>1003.45</v>
      </c>
      <c r="O274" s="28">
        <v>1043.5899999999999</v>
      </c>
      <c r="P274" s="80">
        <v>1085.3399999999999</v>
      </c>
      <c r="Q274" s="28">
        <v>1128.74</v>
      </c>
      <c r="R274" s="80">
        <v>1173.9000000000001</v>
      </c>
      <c r="S274" s="81">
        <v>1220.8599999999999</v>
      </c>
      <c r="T274" s="33">
        <v>1221.92</v>
      </c>
      <c r="U274" s="34">
        <v>1283.01</v>
      </c>
      <c r="V274" s="35">
        <v>1347.17</v>
      </c>
      <c r="W274" s="34">
        <v>1414.53</v>
      </c>
      <c r="X274" s="35">
        <v>1485.26</v>
      </c>
      <c r="Y274" s="34">
        <v>1559.53</v>
      </c>
      <c r="Z274" s="36">
        <v>1637.5</v>
      </c>
    </row>
    <row r="275" spans="1:26" x14ac:dyDescent="0.2">
      <c r="A275" s="96">
        <v>43009</v>
      </c>
      <c r="B275" s="82">
        <v>959.1</v>
      </c>
      <c r="C275" s="28">
        <v>987.88</v>
      </c>
      <c r="D275" s="80">
        <v>1017.52</v>
      </c>
      <c r="E275" s="28">
        <v>1048.03</v>
      </c>
      <c r="F275" s="80">
        <v>1079.48</v>
      </c>
      <c r="G275" s="81">
        <v>1150</v>
      </c>
      <c r="H275" s="82">
        <v>959.1</v>
      </c>
      <c r="I275" s="28">
        <v>987.88</v>
      </c>
      <c r="J275" s="80">
        <v>1017.52</v>
      </c>
      <c r="K275" s="28">
        <v>1048.03</v>
      </c>
      <c r="L275" s="80">
        <v>1079.48</v>
      </c>
      <c r="M275" s="81">
        <v>1150</v>
      </c>
      <c r="N275" s="82">
        <v>1003.45</v>
      </c>
      <c r="O275" s="28">
        <v>1043.5899999999999</v>
      </c>
      <c r="P275" s="80">
        <v>1085.3399999999999</v>
      </c>
      <c r="Q275" s="28">
        <v>1128.74</v>
      </c>
      <c r="R275" s="80">
        <v>1173.9000000000001</v>
      </c>
      <c r="S275" s="81">
        <v>1220.8599999999999</v>
      </c>
      <c r="T275" s="33">
        <v>1221.92</v>
      </c>
      <c r="U275" s="34">
        <v>1283.01</v>
      </c>
      <c r="V275" s="35">
        <v>1347.17</v>
      </c>
      <c r="W275" s="34">
        <v>1414.53</v>
      </c>
      <c r="X275" s="35">
        <v>1485.26</v>
      </c>
      <c r="Y275" s="34">
        <v>1559.53</v>
      </c>
      <c r="Z275" s="36">
        <v>1637.5</v>
      </c>
    </row>
    <row r="276" spans="1:26" x14ac:dyDescent="0.2">
      <c r="A276" s="96">
        <v>43040</v>
      </c>
      <c r="B276" s="82">
        <v>959.1</v>
      </c>
      <c r="C276" s="28">
        <v>987.88</v>
      </c>
      <c r="D276" s="80">
        <v>1017.52</v>
      </c>
      <c r="E276" s="28">
        <v>1048.03</v>
      </c>
      <c r="F276" s="80">
        <v>1079.48</v>
      </c>
      <c r="G276" s="81">
        <v>1150</v>
      </c>
      <c r="H276" s="82">
        <v>959.1</v>
      </c>
      <c r="I276" s="28">
        <v>987.88</v>
      </c>
      <c r="J276" s="80">
        <v>1017.52</v>
      </c>
      <c r="K276" s="28">
        <v>1048.03</v>
      </c>
      <c r="L276" s="80">
        <v>1079.48</v>
      </c>
      <c r="M276" s="81">
        <v>1150</v>
      </c>
      <c r="N276" s="82">
        <v>1003.45</v>
      </c>
      <c r="O276" s="28">
        <v>1043.5899999999999</v>
      </c>
      <c r="P276" s="80">
        <v>1085.3399999999999</v>
      </c>
      <c r="Q276" s="28">
        <v>1128.74</v>
      </c>
      <c r="R276" s="80">
        <v>1173.9000000000001</v>
      </c>
      <c r="S276" s="81">
        <v>1220.8599999999999</v>
      </c>
      <c r="T276" s="33">
        <v>1221.92</v>
      </c>
      <c r="U276" s="34">
        <v>1283.01</v>
      </c>
      <c r="V276" s="35">
        <v>1347.17</v>
      </c>
      <c r="W276" s="34">
        <v>1414.53</v>
      </c>
      <c r="X276" s="35">
        <v>1485.26</v>
      </c>
      <c r="Y276" s="34">
        <v>1559.53</v>
      </c>
      <c r="Z276" s="36">
        <v>1637.5</v>
      </c>
    </row>
    <row r="277" spans="1:26" ht="13.5" thickBot="1" x14ac:dyDescent="0.25">
      <c r="A277" s="96">
        <v>43070</v>
      </c>
      <c r="B277" s="90">
        <v>959.1</v>
      </c>
      <c r="C277" s="87">
        <v>987.88</v>
      </c>
      <c r="D277" s="88">
        <v>1017.52</v>
      </c>
      <c r="E277" s="87">
        <v>1048.03</v>
      </c>
      <c r="F277" s="88">
        <v>1079.48</v>
      </c>
      <c r="G277" s="89">
        <v>1150</v>
      </c>
      <c r="H277" s="90">
        <v>959.1</v>
      </c>
      <c r="I277" s="87">
        <v>987.88</v>
      </c>
      <c r="J277" s="88">
        <v>1017.52</v>
      </c>
      <c r="K277" s="87">
        <v>1048.03</v>
      </c>
      <c r="L277" s="88">
        <v>1079.48</v>
      </c>
      <c r="M277" s="89">
        <v>1150</v>
      </c>
      <c r="N277" s="90">
        <v>1003.45</v>
      </c>
      <c r="O277" s="87">
        <v>1043.5899999999999</v>
      </c>
      <c r="P277" s="88">
        <v>1085.3399999999999</v>
      </c>
      <c r="Q277" s="87">
        <v>1128.74</v>
      </c>
      <c r="R277" s="88">
        <v>1173.9000000000001</v>
      </c>
      <c r="S277" s="89">
        <v>1220.8599999999999</v>
      </c>
      <c r="T277" s="45">
        <v>1221.92</v>
      </c>
      <c r="U277" s="43">
        <v>1283.01</v>
      </c>
      <c r="V277" s="42">
        <v>1347.17</v>
      </c>
      <c r="W277" s="43">
        <v>1414.53</v>
      </c>
      <c r="X277" s="42">
        <v>1485.26</v>
      </c>
      <c r="Y277" s="43">
        <v>1559.53</v>
      </c>
      <c r="Z277" s="44">
        <v>1637.5</v>
      </c>
    </row>
    <row r="278" spans="1:26" x14ac:dyDescent="0.2">
      <c r="A278" s="96">
        <v>43101</v>
      </c>
      <c r="B278" s="100">
        <v>959.1</v>
      </c>
      <c r="C278" s="101">
        <v>987.88</v>
      </c>
      <c r="D278" s="102">
        <v>1017.52</v>
      </c>
      <c r="E278" s="101">
        <v>1048.03</v>
      </c>
      <c r="F278" s="102">
        <v>1079.48</v>
      </c>
      <c r="G278" s="103">
        <v>1228.32</v>
      </c>
      <c r="H278" s="100">
        <v>959.1</v>
      </c>
      <c r="I278" s="101">
        <v>987.88</v>
      </c>
      <c r="J278" s="102">
        <v>1017.52</v>
      </c>
      <c r="K278" s="101">
        <v>1048.03</v>
      </c>
      <c r="L278" s="102">
        <v>1079.48</v>
      </c>
      <c r="M278" s="103">
        <v>1228.32</v>
      </c>
      <c r="N278" s="100">
        <v>1003.45</v>
      </c>
      <c r="O278" s="101">
        <v>1043.5899999999999</v>
      </c>
      <c r="P278" s="102">
        <v>1085.3399999999999</v>
      </c>
      <c r="Q278" s="101">
        <v>1128.74</v>
      </c>
      <c r="R278" s="102">
        <v>1253.8399999999999</v>
      </c>
      <c r="S278" s="103">
        <v>1304</v>
      </c>
      <c r="T278" s="104">
        <v>1228.32</v>
      </c>
      <c r="U278" s="105">
        <v>1289.73</v>
      </c>
      <c r="V278" s="106">
        <v>1354.23</v>
      </c>
      <c r="W278" s="105">
        <v>1421.94</v>
      </c>
      <c r="X278" s="106">
        <v>1493.04</v>
      </c>
      <c r="Y278" s="105">
        <v>1567.7</v>
      </c>
      <c r="Z278" s="107">
        <v>1645.08</v>
      </c>
    </row>
    <row r="279" spans="1:26" x14ac:dyDescent="0.2">
      <c r="A279" s="96">
        <v>43132</v>
      </c>
      <c r="B279" s="82">
        <v>959.1</v>
      </c>
      <c r="C279" s="28">
        <v>987.88</v>
      </c>
      <c r="D279" s="80">
        <v>1017.52</v>
      </c>
      <c r="E279" s="28">
        <v>1048.03</v>
      </c>
      <c r="F279" s="80">
        <v>1079.48</v>
      </c>
      <c r="G279" s="81">
        <v>1228.32</v>
      </c>
      <c r="H279" s="82">
        <v>959.1</v>
      </c>
      <c r="I279" s="28">
        <v>987.88</v>
      </c>
      <c r="J279" s="80">
        <v>1017.52</v>
      </c>
      <c r="K279" s="28">
        <v>1048.03</v>
      </c>
      <c r="L279" s="80">
        <v>1079.48</v>
      </c>
      <c r="M279" s="81">
        <v>1228.32</v>
      </c>
      <c r="N279" s="82">
        <v>1003.45</v>
      </c>
      <c r="O279" s="28">
        <v>1043.5899999999999</v>
      </c>
      <c r="P279" s="80">
        <v>1085.3399999999999</v>
      </c>
      <c r="Q279" s="28">
        <v>1128.74</v>
      </c>
      <c r="R279" s="80">
        <v>1253.8399999999999</v>
      </c>
      <c r="S279" s="81">
        <v>1304</v>
      </c>
      <c r="T279" s="33">
        <v>1228.32</v>
      </c>
      <c r="U279" s="34">
        <v>1289.73</v>
      </c>
      <c r="V279" s="35">
        <v>1354.23</v>
      </c>
      <c r="W279" s="34">
        <v>1421.94</v>
      </c>
      <c r="X279" s="35">
        <v>1493.04</v>
      </c>
      <c r="Y279" s="34">
        <v>1567.7</v>
      </c>
      <c r="Z279" s="36">
        <v>1645.08</v>
      </c>
    </row>
    <row r="280" spans="1:26" x14ac:dyDescent="0.2">
      <c r="A280" s="96">
        <v>43160</v>
      </c>
      <c r="B280" s="82">
        <v>959.1</v>
      </c>
      <c r="C280" s="28">
        <v>987.88</v>
      </c>
      <c r="D280" s="80">
        <v>1017.52</v>
      </c>
      <c r="E280" s="28">
        <v>1048.03</v>
      </c>
      <c r="F280" s="80">
        <v>1079.48</v>
      </c>
      <c r="G280" s="81">
        <v>1228.32</v>
      </c>
      <c r="H280" s="82">
        <v>959.1</v>
      </c>
      <c r="I280" s="28">
        <v>987.88</v>
      </c>
      <c r="J280" s="80">
        <v>1017.52</v>
      </c>
      <c r="K280" s="28">
        <v>1048.03</v>
      </c>
      <c r="L280" s="80">
        <v>1079.48</v>
      </c>
      <c r="M280" s="81">
        <v>1228.32</v>
      </c>
      <c r="N280" s="82">
        <v>1003.45</v>
      </c>
      <c r="O280" s="28">
        <v>1043.5899999999999</v>
      </c>
      <c r="P280" s="80">
        <v>1085.3399999999999</v>
      </c>
      <c r="Q280" s="28">
        <v>1128.74</v>
      </c>
      <c r="R280" s="80">
        <v>1253.8399999999999</v>
      </c>
      <c r="S280" s="81">
        <v>1304</v>
      </c>
      <c r="T280" s="33">
        <v>1255.03</v>
      </c>
      <c r="U280" s="34">
        <v>1317.78</v>
      </c>
      <c r="V280" s="35">
        <v>1383.68</v>
      </c>
      <c r="W280" s="34">
        <v>1452.86</v>
      </c>
      <c r="X280" s="35">
        <v>1525.51</v>
      </c>
      <c r="Y280" s="34">
        <v>1601.79</v>
      </c>
      <c r="Z280" s="36">
        <v>1681.88</v>
      </c>
    </row>
    <row r="281" spans="1:26" x14ac:dyDescent="0.2">
      <c r="A281" s="96">
        <v>43191</v>
      </c>
      <c r="B281" s="82">
        <v>959.1</v>
      </c>
      <c r="C281" s="28">
        <v>987.88</v>
      </c>
      <c r="D281" s="80">
        <v>1017.52</v>
      </c>
      <c r="E281" s="28">
        <v>1048.03</v>
      </c>
      <c r="F281" s="80">
        <v>1079.48</v>
      </c>
      <c r="G281" s="81">
        <v>1228.32</v>
      </c>
      <c r="H281" s="82">
        <v>959.1</v>
      </c>
      <c r="I281" s="28">
        <v>987.88</v>
      </c>
      <c r="J281" s="80">
        <v>1017.52</v>
      </c>
      <c r="K281" s="28">
        <v>1048.03</v>
      </c>
      <c r="L281" s="80">
        <v>1079.48</v>
      </c>
      <c r="M281" s="81">
        <v>1228.32</v>
      </c>
      <c r="N281" s="82">
        <v>1003.45</v>
      </c>
      <c r="O281" s="28">
        <v>1043.5899999999999</v>
      </c>
      <c r="P281" s="80">
        <v>1085.3399999999999</v>
      </c>
      <c r="Q281" s="28">
        <v>1128.74</v>
      </c>
      <c r="R281" s="80">
        <v>1253.8399999999999</v>
      </c>
      <c r="S281" s="81">
        <v>1304</v>
      </c>
      <c r="T281" s="33">
        <v>1255.03</v>
      </c>
      <c r="U281" s="34">
        <v>1317.78</v>
      </c>
      <c r="V281" s="35">
        <v>1383.68</v>
      </c>
      <c r="W281" s="34">
        <v>1452.86</v>
      </c>
      <c r="X281" s="35">
        <v>1525.51</v>
      </c>
      <c r="Y281" s="34">
        <v>1601.79</v>
      </c>
      <c r="Z281" s="36">
        <v>1681.88</v>
      </c>
    </row>
    <row r="282" spans="1:26" x14ac:dyDescent="0.2">
      <c r="A282" s="96">
        <v>43221</v>
      </c>
      <c r="B282" s="82">
        <v>959.1</v>
      </c>
      <c r="C282" s="28">
        <v>987.88</v>
      </c>
      <c r="D282" s="80">
        <v>1017.52</v>
      </c>
      <c r="E282" s="28">
        <v>1048.03</v>
      </c>
      <c r="F282" s="80">
        <v>1079.48</v>
      </c>
      <c r="G282" s="81">
        <v>1228.32</v>
      </c>
      <c r="H282" s="82">
        <v>959.1</v>
      </c>
      <c r="I282" s="28">
        <v>987.88</v>
      </c>
      <c r="J282" s="80">
        <v>1017.52</v>
      </c>
      <c r="K282" s="28">
        <v>1048.03</v>
      </c>
      <c r="L282" s="80">
        <v>1079.48</v>
      </c>
      <c r="M282" s="81">
        <v>1228.32</v>
      </c>
      <c r="N282" s="82">
        <v>1003.45</v>
      </c>
      <c r="O282" s="28">
        <v>1043.5899999999999</v>
      </c>
      <c r="P282" s="80">
        <v>1085.3399999999999</v>
      </c>
      <c r="Q282" s="28">
        <v>1128.74</v>
      </c>
      <c r="R282" s="80">
        <v>1253.8399999999999</v>
      </c>
      <c r="S282" s="81">
        <v>1304</v>
      </c>
      <c r="T282" s="33">
        <v>1255.03</v>
      </c>
      <c r="U282" s="34">
        <v>1317.78</v>
      </c>
      <c r="V282" s="35">
        <v>1383.68</v>
      </c>
      <c r="W282" s="34">
        <v>1452.86</v>
      </c>
      <c r="X282" s="35">
        <v>1525.51</v>
      </c>
      <c r="Y282" s="34">
        <v>1601.79</v>
      </c>
      <c r="Z282" s="36">
        <v>1681.88</v>
      </c>
    </row>
    <row r="283" spans="1:26" x14ac:dyDescent="0.2">
      <c r="A283" s="96">
        <v>43252</v>
      </c>
      <c r="B283" s="82">
        <v>959.1</v>
      </c>
      <c r="C283" s="28">
        <v>987.88</v>
      </c>
      <c r="D283" s="80">
        <v>1017.52</v>
      </c>
      <c r="E283" s="28">
        <v>1048.03</v>
      </c>
      <c r="F283" s="80">
        <v>1079.48</v>
      </c>
      <c r="G283" s="81">
        <v>1228.32</v>
      </c>
      <c r="H283" s="82">
        <v>959.1</v>
      </c>
      <c r="I283" s="28">
        <v>987.88</v>
      </c>
      <c r="J283" s="80">
        <v>1017.52</v>
      </c>
      <c r="K283" s="28">
        <v>1048.03</v>
      </c>
      <c r="L283" s="80">
        <v>1079.48</v>
      </c>
      <c r="M283" s="81">
        <v>1228.32</v>
      </c>
      <c r="N283" s="82">
        <v>1003.45</v>
      </c>
      <c r="O283" s="28">
        <v>1043.5899999999999</v>
      </c>
      <c r="P283" s="80">
        <v>1085.3399999999999</v>
      </c>
      <c r="Q283" s="28">
        <v>1128.74</v>
      </c>
      <c r="R283" s="80">
        <v>1253.8399999999999</v>
      </c>
      <c r="S283" s="81">
        <v>1304</v>
      </c>
      <c r="T283" s="33">
        <v>1305.1099999999999</v>
      </c>
      <c r="U283" s="34">
        <v>1370.36</v>
      </c>
      <c r="V283" s="35">
        <v>1438.89</v>
      </c>
      <c r="W283" s="34">
        <v>1510.83</v>
      </c>
      <c r="X283" s="35">
        <v>1586.38</v>
      </c>
      <c r="Y283" s="34">
        <v>1665.7</v>
      </c>
      <c r="Z283" s="36">
        <v>1748.98</v>
      </c>
    </row>
    <row r="284" spans="1:26" x14ac:dyDescent="0.2">
      <c r="A284" s="96">
        <v>43282</v>
      </c>
      <c r="B284" s="82">
        <v>959.1</v>
      </c>
      <c r="C284" s="28">
        <v>987.88</v>
      </c>
      <c r="D284" s="80">
        <v>1017.52</v>
      </c>
      <c r="E284" s="28">
        <v>1048.03</v>
      </c>
      <c r="F284" s="80">
        <v>1079.48</v>
      </c>
      <c r="G284" s="81">
        <v>1228.32</v>
      </c>
      <c r="H284" s="82">
        <v>959.1</v>
      </c>
      <c r="I284" s="28">
        <v>987.88</v>
      </c>
      <c r="J284" s="80">
        <v>1017.52</v>
      </c>
      <c r="K284" s="28">
        <v>1048.03</v>
      </c>
      <c r="L284" s="80">
        <v>1079.48</v>
      </c>
      <c r="M284" s="81">
        <v>1228.32</v>
      </c>
      <c r="N284" s="82">
        <v>1003.45</v>
      </c>
      <c r="O284" s="28">
        <v>1043.5899999999999</v>
      </c>
      <c r="P284" s="80">
        <v>1085.3399999999999</v>
      </c>
      <c r="Q284" s="28">
        <v>1128.74</v>
      </c>
      <c r="R284" s="80">
        <v>1253.8399999999999</v>
      </c>
      <c r="S284" s="81">
        <v>1304</v>
      </c>
      <c r="T284" s="33">
        <v>1305.1099999999999</v>
      </c>
      <c r="U284" s="34">
        <v>1370.36</v>
      </c>
      <c r="V284" s="35">
        <v>1438.89</v>
      </c>
      <c r="W284" s="34">
        <v>1510.83</v>
      </c>
      <c r="X284" s="35">
        <v>1586.38</v>
      </c>
      <c r="Y284" s="34">
        <v>1665.7</v>
      </c>
      <c r="Z284" s="36">
        <v>1748.98</v>
      </c>
    </row>
    <row r="285" spans="1:26" x14ac:dyDescent="0.2">
      <c r="A285" s="96">
        <v>43313</v>
      </c>
      <c r="B285" s="82">
        <v>959.1</v>
      </c>
      <c r="C285" s="28">
        <v>987.88</v>
      </c>
      <c r="D285" s="80">
        <v>1017.52</v>
      </c>
      <c r="E285" s="28">
        <v>1048.03</v>
      </c>
      <c r="F285" s="80">
        <v>1079.48</v>
      </c>
      <c r="G285" s="81">
        <v>1228.32</v>
      </c>
      <c r="H285" s="82">
        <v>959.1</v>
      </c>
      <c r="I285" s="28">
        <v>987.88</v>
      </c>
      <c r="J285" s="80">
        <v>1017.52</v>
      </c>
      <c r="K285" s="28">
        <v>1048.03</v>
      </c>
      <c r="L285" s="80">
        <v>1079.48</v>
      </c>
      <c r="M285" s="81">
        <v>1228.32</v>
      </c>
      <c r="N285" s="82">
        <v>1003.45</v>
      </c>
      <c r="O285" s="28">
        <v>1043.5899999999999</v>
      </c>
      <c r="P285" s="80">
        <v>1085.3399999999999</v>
      </c>
      <c r="Q285" s="28">
        <v>1128.74</v>
      </c>
      <c r="R285" s="80">
        <v>1253.8399999999999</v>
      </c>
      <c r="S285" s="81">
        <v>1304</v>
      </c>
      <c r="T285" s="33">
        <v>1305.1099999999999</v>
      </c>
      <c r="U285" s="34">
        <v>1370.36</v>
      </c>
      <c r="V285" s="35">
        <v>1438.89</v>
      </c>
      <c r="W285" s="34">
        <v>1510.83</v>
      </c>
      <c r="X285" s="35">
        <v>1586.38</v>
      </c>
      <c r="Y285" s="34">
        <v>1665.7</v>
      </c>
      <c r="Z285" s="36">
        <v>1748.98</v>
      </c>
    </row>
    <row r="286" spans="1:26" x14ac:dyDescent="0.2">
      <c r="A286" s="96">
        <v>43344</v>
      </c>
      <c r="B286" s="82">
        <v>959.1</v>
      </c>
      <c r="C286" s="28">
        <v>987.88</v>
      </c>
      <c r="D286" s="80">
        <v>1017.52</v>
      </c>
      <c r="E286" s="28">
        <v>1048.03</v>
      </c>
      <c r="F286" s="80">
        <v>1079.48</v>
      </c>
      <c r="G286" s="81">
        <v>1228.32</v>
      </c>
      <c r="H286" s="82">
        <v>959.1</v>
      </c>
      <c r="I286" s="28">
        <v>987.88</v>
      </c>
      <c r="J286" s="80">
        <v>1017.52</v>
      </c>
      <c r="K286" s="28">
        <v>1048.03</v>
      </c>
      <c r="L286" s="80">
        <v>1079.48</v>
      </c>
      <c r="M286" s="81">
        <v>1228.32</v>
      </c>
      <c r="N286" s="82">
        <v>1003.45</v>
      </c>
      <c r="O286" s="28">
        <v>1043.5899999999999</v>
      </c>
      <c r="P286" s="80">
        <v>1085.3399999999999</v>
      </c>
      <c r="Q286" s="28">
        <v>1128.74</v>
      </c>
      <c r="R286" s="80">
        <v>1253.8399999999999</v>
      </c>
      <c r="S286" s="81">
        <v>1304</v>
      </c>
      <c r="T286" s="33">
        <v>1305.1099999999999</v>
      </c>
      <c r="U286" s="34">
        <v>1370.36</v>
      </c>
      <c r="V286" s="35">
        <v>1438.89</v>
      </c>
      <c r="W286" s="34">
        <v>1510.83</v>
      </c>
      <c r="X286" s="35">
        <v>1586.38</v>
      </c>
      <c r="Y286" s="34">
        <v>1665.7</v>
      </c>
      <c r="Z286" s="36">
        <v>1748.98</v>
      </c>
    </row>
    <row r="287" spans="1:26" x14ac:dyDescent="0.2">
      <c r="A287" s="96">
        <v>43374</v>
      </c>
      <c r="B287" s="82">
        <v>959.1</v>
      </c>
      <c r="C287" s="28">
        <v>987.88</v>
      </c>
      <c r="D287" s="80">
        <v>1017.52</v>
      </c>
      <c r="E287" s="28">
        <v>1048.03</v>
      </c>
      <c r="F287" s="80">
        <v>1079.48</v>
      </c>
      <c r="G287" s="81">
        <v>1228.32</v>
      </c>
      <c r="H287" s="82">
        <v>959.1</v>
      </c>
      <c r="I287" s="28">
        <v>987.88</v>
      </c>
      <c r="J287" s="80">
        <v>1017.52</v>
      </c>
      <c r="K287" s="28">
        <v>1048.03</v>
      </c>
      <c r="L287" s="80">
        <v>1079.48</v>
      </c>
      <c r="M287" s="81">
        <v>1228.32</v>
      </c>
      <c r="N287" s="82">
        <v>1003.45</v>
      </c>
      <c r="O287" s="28">
        <v>1043.5899999999999</v>
      </c>
      <c r="P287" s="80">
        <v>1085.3399999999999</v>
      </c>
      <c r="Q287" s="28">
        <v>1128.74</v>
      </c>
      <c r="R287" s="80">
        <v>1253.8399999999999</v>
      </c>
      <c r="S287" s="81">
        <v>1304</v>
      </c>
      <c r="T287" s="33">
        <v>1305.1099999999999</v>
      </c>
      <c r="U287" s="34">
        <v>1370.36</v>
      </c>
      <c r="V287" s="35">
        <v>1438.89</v>
      </c>
      <c r="W287" s="34">
        <v>1510.83</v>
      </c>
      <c r="X287" s="35">
        <v>1586.38</v>
      </c>
      <c r="Y287" s="34">
        <v>1665.7</v>
      </c>
      <c r="Z287" s="36">
        <v>1748.98</v>
      </c>
    </row>
    <row r="288" spans="1:26" x14ac:dyDescent="0.2">
      <c r="A288" s="96">
        <v>43405</v>
      </c>
      <c r="B288" s="82">
        <v>959.1</v>
      </c>
      <c r="C288" s="28">
        <v>987.88</v>
      </c>
      <c r="D288" s="80">
        <v>1017.52</v>
      </c>
      <c r="E288" s="28">
        <v>1048.03</v>
      </c>
      <c r="F288" s="80">
        <v>1079.48</v>
      </c>
      <c r="G288" s="81">
        <v>1228.32</v>
      </c>
      <c r="H288" s="82">
        <v>959.1</v>
      </c>
      <c r="I288" s="28">
        <v>987.88</v>
      </c>
      <c r="J288" s="80">
        <v>1017.52</v>
      </c>
      <c r="K288" s="28">
        <v>1048.03</v>
      </c>
      <c r="L288" s="80">
        <v>1079.48</v>
      </c>
      <c r="M288" s="81">
        <v>1228.32</v>
      </c>
      <c r="N288" s="82">
        <v>1003.45</v>
      </c>
      <c r="O288" s="28">
        <v>1043.5899999999999</v>
      </c>
      <c r="P288" s="80">
        <v>1085.3399999999999</v>
      </c>
      <c r="Q288" s="28">
        <v>1128.74</v>
      </c>
      <c r="R288" s="80">
        <v>1253.8399999999999</v>
      </c>
      <c r="S288" s="81">
        <v>1304</v>
      </c>
      <c r="T288" s="33">
        <v>1305.1099999999999</v>
      </c>
      <c r="U288" s="34">
        <v>1370.36</v>
      </c>
      <c r="V288" s="35">
        <v>1438.89</v>
      </c>
      <c r="W288" s="34">
        <v>1510.83</v>
      </c>
      <c r="X288" s="35">
        <v>1586.38</v>
      </c>
      <c r="Y288" s="34">
        <v>1665.7</v>
      </c>
      <c r="Z288" s="36">
        <v>1748.98</v>
      </c>
    </row>
    <row r="289" spans="1:26" ht="13.5" thickBot="1" x14ac:dyDescent="0.25">
      <c r="A289" s="96">
        <v>43435</v>
      </c>
      <c r="B289" s="90">
        <v>959.1</v>
      </c>
      <c r="C289" s="87">
        <v>987.88</v>
      </c>
      <c r="D289" s="88">
        <v>1017.52</v>
      </c>
      <c r="E289" s="87">
        <v>1048.03</v>
      </c>
      <c r="F289" s="88">
        <v>1079.48</v>
      </c>
      <c r="G289" s="89">
        <v>1228.32</v>
      </c>
      <c r="H289" s="90">
        <v>959.1</v>
      </c>
      <c r="I289" s="87">
        <v>987.88</v>
      </c>
      <c r="J289" s="88">
        <v>1017.52</v>
      </c>
      <c r="K289" s="87">
        <v>1048.03</v>
      </c>
      <c r="L289" s="88">
        <v>1079.48</v>
      </c>
      <c r="M289" s="89">
        <v>1228.32</v>
      </c>
      <c r="N289" s="90">
        <v>1003.45</v>
      </c>
      <c r="O289" s="87">
        <v>1043.5899999999999</v>
      </c>
      <c r="P289" s="88">
        <v>1085.3399999999999</v>
      </c>
      <c r="Q289" s="87">
        <v>1128.74</v>
      </c>
      <c r="R289" s="88">
        <v>1253.8399999999999</v>
      </c>
      <c r="S289" s="89">
        <v>1304</v>
      </c>
      <c r="T289" s="45">
        <v>1305.1099999999999</v>
      </c>
      <c r="U289" s="43">
        <v>1370.36</v>
      </c>
      <c r="V289" s="42">
        <v>1438.89</v>
      </c>
      <c r="W289" s="43">
        <v>1510.83</v>
      </c>
      <c r="X289" s="42">
        <v>1586.38</v>
      </c>
      <c r="Y289" s="43">
        <v>1665.7</v>
      </c>
      <c r="Z289" s="44">
        <v>1748.98</v>
      </c>
    </row>
    <row r="290" spans="1:26" x14ac:dyDescent="0.2">
      <c r="A290" s="96">
        <v>43466</v>
      </c>
      <c r="B290" s="100">
        <v>959.1</v>
      </c>
      <c r="C290" s="101">
        <v>987.88</v>
      </c>
      <c r="D290" s="102">
        <v>1017.52</v>
      </c>
      <c r="E290" s="101">
        <v>1048.03</v>
      </c>
      <c r="F290" s="102">
        <v>1079.48</v>
      </c>
      <c r="G290" s="103">
        <v>1228.32</v>
      </c>
      <c r="H290" s="100">
        <v>959.1</v>
      </c>
      <c r="I290" s="101">
        <v>987.88</v>
      </c>
      <c r="J290" s="102">
        <v>1017.52</v>
      </c>
      <c r="K290" s="101">
        <v>1048.03</v>
      </c>
      <c r="L290" s="102">
        <v>1079.48</v>
      </c>
      <c r="M290" s="103">
        <v>1228.32</v>
      </c>
      <c r="N290" s="100">
        <v>1003.45</v>
      </c>
      <c r="O290" s="101">
        <v>1043.5899999999999</v>
      </c>
      <c r="P290" s="102">
        <v>1085.3399999999999</v>
      </c>
      <c r="Q290" s="101">
        <v>1128.74</v>
      </c>
      <c r="R290" s="102">
        <v>1253.8399999999999</v>
      </c>
      <c r="S290" s="103">
        <v>1304</v>
      </c>
      <c r="T290" s="104">
        <v>1305.1099999999999</v>
      </c>
      <c r="U290" s="105">
        <v>1370.36</v>
      </c>
      <c r="V290" s="106">
        <v>1438.89</v>
      </c>
      <c r="W290" s="105">
        <v>1510.83</v>
      </c>
      <c r="X290" s="106">
        <v>1586.38</v>
      </c>
      <c r="Y290" s="105">
        <v>1665.7</v>
      </c>
      <c r="Z290" s="107">
        <v>1748.98</v>
      </c>
    </row>
    <row r="291" spans="1:26" x14ac:dyDescent="0.2">
      <c r="A291" s="96">
        <v>43497</v>
      </c>
      <c r="B291" s="82">
        <v>959.1</v>
      </c>
      <c r="C291" s="28">
        <v>987.88</v>
      </c>
      <c r="D291" s="80">
        <v>1017.52</v>
      </c>
      <c r="E291" s="28">
        <v>1048.03</v>
      </c>
      <c r="F291" s="80">
        <v>1079.48</v>
      </c>
      <c r="G291" s="81">
        <v>1228.32</v>
      </c>
      <c r="H291" s="82">
        <v>959.1</v>
      </c>
      <c r="I291" s="28">
        <v>987.88</v>
      </c>
      <c r="J291" s="80">
        <v>1017.52</v>
      </c>
      <c r="K291" s="28">
        <v>1048.03</v>
      </c>
      <c r="L291" s="80">
        <v>1079.48</v>
      </c>
      <c r="M291" s="81">
        <v>1228.32</v>
      </c>
      <c r="N291" s="82">
        <v>1003.45</v>
      </c>
      <c r="O291" s="28">
        <v>1043.5899999999999</v>
      </c>
      <c r="P291" s="80">
        <v>1085.3399999999999</v>
      </c>
      <c r="Q291" s="28">
        <v>1128.74</v>
      </c>
      <c r="R291" s="80">
        <v>1253.8399999999999</v>
      </c>
      <c r="S291" s="81">
        <v>1304</v>
      </c>
      <c r="T291" s="33">
        <v>1305.1099999999999</v>
      </c>
      <c r="U291" s="34">
        <v>1370.36</v>
      </c>
      <c r="V291" s="35">
        <v>1438.89</v>
      </c>
      <c r="W291" s="34">
        <v>1510.83</v>
      </c>
      <c r="X291" s="35">
        <v>1586.38</v>
      </c>
      <c r="Y291" s="34">
        <v>1665.7</v>
      </c>
      <c r="Z291" s="36">
        <v>1748.98</v>
      </c>
    </row>
    <row r="292" spans="1:26" x14ac:dyDescent="0.2">
      <c r="A292" s="96">
        <v>43525</v>
      </c>
      <c r="B292" s="82">
        <v>959.1</v>
      </c>
      <c r="C292" s="28">
        <v>987.88</v>
      </c>
      <c r="D292" s="80">
        <v>1017.52</v>
      </c>
      <c r="E292" s="28">
        <v>1048.03</v>
      </c>
      <c r="F292" s="80">
        <v>1079.48</v>
      </c>
      <c r="G292" s="81">
        <v>1228.32</v>
      </c>
      <c r="H292" s="82">
        <v>959.1</v>
      </c>
      <c r="I292" s="28">
        <v>987.88</v>
      </c>
      <c r="J292" s="80">
        <v>1017.52</v>
      </c>
      <c r="K292" s="28">
        <v>1048.03</v>
      </c>
      <c r="L292" s="80">
        <v>1079.48</v>
      </c>
      <c r="M292" s="81">
        <v>1228.32</v>
      </c>
      <c r="N292" s="82">
        <v>1003.45</v>
      </c>
      <c r="O292" s="28">
        <v>1043.5899999999999</v>
      </c>
      <c r="P292" s="80">
        <v>1085.3399999999999</v>
      </c>
      <c r="Q292" s="28">
        <v>1128.74</v>
      </c>
      <c r="R292" s="80">
        <v>1253.8399999999999</v>
      </c>
      <c r="S292" s="81">
        <v>1304</v>
      </c>
      <c r="T292" s="33">
        <v>1305.1099999999999</v>
      </c>
      <c r="U292" s="34">
        <v>1370.36</v>
      </c>
      <c r="V292" s="35">
        <v>1438.89</v>
      </c>
      <c r="W292" s="34">
        <v>1510.83</v>
      </c>
      <c r="X292" s="35">
        <v>1586.38</v>
      </c>
      <c r="Y292" s="34">
        <v>1665.7</v>
      </c>
      <c r="Z292" s="36">
        <v>1748.98</v>
      </c>
    </row>
    <row r="293" spans="1:26" x14ac:dyDescent="0.2">
      <c r="A293" s="96">
        <v>43556</v>
      </c>
      <c r="B293" s="82">
        <v>959.1</v>
      </c>
      <c r="C293" s="28">
        <v>987.88</v>
      </c>
      <c r="D293" s="80">
        <v>1017.52</v>
      </c>
      <c r="E293" s="28">
        <v>1048.03</v>
      </c>
      <c r="F293" s="80">
        <v>1079.48</v>
      </c>
      <c r="G293" s="81">
        <v>1228.32</v>
      </c>
      <c r="H293" s="82">
        <v>959.1</v>
      </c>
      <c r="I293" s="28">
        <v>987.88</v>
      </c>
      <c r="J293" s="80">
        <v>1017.52</v>
      </c>
      <c r="K293" s="28">
        <v>1048.03</v>
      </c>
      <c r="L293" s="80">
        <v>1079.48</v>
      </c>
      <c r="M293" s="81">
        <v>1228.32</v>
      </c>
      <c r="N293" s="82">
        <v>1003.45</v>
      </c>
      <c r="O293" s="28">
        <v>1043.5899999999999</v>
      </c>
      <c r="P293" s="80">
        <v>1085.3399999999999</v>
      </c>
      <c r="Q293" s="28">
        <v>1128.74</v>
      </c>
      <c r="R293" s="80">
        <v>1253.8399999999999</v>
      </c>
      <c r="S293" s="81">
        <v>1304</v>
      </c>
      <c r="T293" s="33">
        <v>1305.1099999999999</v>
      </c>
      <c r="U293" s="34">
        <v>1370.36</v>
      </c>
      <c r="V293" s="35">
        <v>1438.89</v>
      </c>
      <c r="W293" s="34">
        <v>1510.83</v>
      </c>
      <c r="X293" s="35">
        <v>1586.38</v>
      </c>
      <c r="Y293" s="34">
        <v>1665.7</v>
      </c>
      <c r="Z293" s="36">
        <v>1748.98</v>
      </c>
    </row>
    <row r="294" spans="1:26" x14ac:dyDescent="0.2">
      <c r="A294" s="96">
        <v>43586</v>
      </c>
      <c r="B294" s="82">
        <v>959.1</v>
      </c>
      <c r="C294" s="28">
        <v>987.88</v>
      </c>
      <c r="D294" s="80">
        <v>1017.52</v>
      </c>
      <c r="E294" s="28">
        <v>1048.03</v>
      </c>
      <c r="F294" s="80">
        <v>1079.48</v>
      </c>
      <c r="G294" s="81">
        <v>1228.32</v>
      </c>
      <c r="H294" s="82">
        <v>959.1</v>
      </c>
      <c r="I294" s="28">
        <v>987.88</v>
      </c>
      <c r="J294" s="80">
        <v>1017.52</v>
      </c>
      <c r="K294" s="28">
        <v>1048.03</v>
      </c>
      <c r="L294" s="80">
        <v>1079.48</v>
      </c>
      <c r="M294" s="81">
        <v>1228.32</v>
      </c>
      <c r="N294" s="82">
        <v>1003.45</v>
      </c>
      <c r="O294" s="28">
        <v>1043.5899999999999</v>
      </c>
      <c r="P294" s="80">
        <v>1085.3399999999999</v>
      </c>
      <c r="Q294" s="28">
        <v>1128.74</v>
      </c>
      <c r="R294" s="80">
        <v>1253.8399999999999</v>
      </c>
      <c r="S294" s="81">
        <v>1304</v>
      </c>
      <c r="T294" s="33">
        <v>1305.1099999999999</v>
      </c>
      <c r="U294" s="34">
        <v>1370.36</v>
      </c>
      <c r="V294" s="35">
        <v>1438.89</v>
      </c>
      <c r="W294" s="34">
        <v>1510.83</v>
      </c>
      <c r="X294" s="35">
        <v>1586.38</v>
      </c>
      <c r="Y294" s="34">
        <v>1665.7</v>
      </c>
      <c r="Z294" s="36">
        <v>1748.98</v>
      </c>
    </row>
    <row r="295" spans="1:26" x14ac:dyDescent="0.2">
      <c r="A295" s="96">
        <v>43617</v>
      </c>
      <c r="B295" s="82">
        <v>959.1</v>
      </c>
      <c r="C295" s="28">
        <v>987.88</v>
      </c>
      <c r="D295" s="80">
        <v>1017.52</v>
      </c>
      <c r="E295" s="28">
        <v>1048.03</v>
      </c>
      <c r="F295" s="80">
        <v>1079.48</v>
      </c>
      <c r="G295" s="81">
        <v>1228.32</v>
      </c>
      <c r="H295" s="82">
        <v>959.1</v>
      </c>
      <c r="I295" s="28">
        <v>987.88</v>
      </c>
      <c r="J295" s="80">
        <v>1017.52</v>
      </c>
      <c r="K295" s="28">
        <v>1048.03</v>
      </c>
      <c r="L295" s="80">
        <v>1079.48</v>
      </c>
      <c r="M295" s="81">
        <v>1228.32</v>
      </c>
      <c r="N295" s="82">
        <v>1003.45</v>
      </c>
      <c r="O295" s="28">
        <v>1043.5899999999999</v>
      </c>
      <c r="P295" s="80">
        <v>1085.3399999999999</v>
      </c>
      <c r="Q295" s="28">
        <v>1128.74</v>
      </c>
      <c r="R295" s="80">
        <v>1253.8399999999999</v>
      </c>
      <c r="S295" s="81">
        <v>1304</v>
      </c>
      <c r="T295" s="33">
        <v>1305.1099999999999</v>
      </c>
      <c r="U295" s="34">
        <v>1370.36</v>
      </c>
      <c r="V295" s="35">
        <v>1438.89</v>
      </c>
      <c r="W295" s="34">
        <v>1510.83</v>
      </c>
      <c r="X295" s="35">
        <v>1586.38</v>
      </c>
      <c r="Y295" s="34">
        <v>1665.7</v>
      </c>
      <c r="Z295" s="36">
        <v>1748.98</v>
      </c>
    </row>
    <row r="296" spans="1:26" x14ac:dyDescent="0.2">
      <c r="A296" s="96">
        <v>43647</v>
      </c>
      <c r="B296" s="82">
        <v>959.1</v>
      </c>
      <c r="C296" s="28">
        <v>987.88</v>
      </c>
      <c r="D296" s="80">
        <v>1017.52</v>
      </c>
      <c r="E296" s="28">
        <v>1048.03</v>
      </c>
      <c r="F296" s="80">
        <v>1079.48</v>
      </c>
      <c r="G296" s="81">
        <v>1228.32</v>
      </c>
      <c r="H296" s="82">
        <v>959.1</v>
      </c>
      <c r="I296" s="28">
        <v>987.88</v>
      </c>
      <c r="J296" s="80">
        <v>1017.52</v>
      </c>
      <c r="K296" s="28">
        <v>1048.03</v>
      </c>
      <c r="L296" s="80">
        <v>1079.48</v>
      </c>
      <c r="M296" s="81">
        <v>1228.32</v>
      </c>
      <c r="N296" s="82">
        <v>1003.45</v>
      </c>
      <c r="O296" s="28">
        <v>1043.5899999999999</v>
      </c>
      <c r="P296" s="80">
        <v>1085.3399999999999</v>
      </c>
      <c r="Q296" s="28">
        <v>1128.74</v>
      </c>
      <c r="R296" s="80">
        <v>1253.8399999999999</v>
      </c>
      <c r="S296" s="81">
        <v>1304</v>
      </c>
      <c r="T296" s="33">
        <v>1305.1099999999999</v>
      </c>
      <c r="U296" s="34">
        <v>1370.36</v>
      </c>
      <c r="V296" s="35">
        <v>1438.89</v>
      </c>
      <c r="W296" s="34">
        <v>1510.83</v>
      </c>
      <c r="X296" s="35">
        <v>1586.38</v>
      </c>
      <c r="Y296" s="34">
        <v>1665.7</v>
      </c>
      <c r="Z296" s="36">
        <v>1748.98</v>
      </c>
    </row>
    <row r="297" spans="1:26" x14ac:dyDescent="0.2">
      <c r="A297" s="96">
        <v>43678</v>
      </c>
      <c r="B297" s="82">
        <v>959.1</v>
      </c>
      <c r="C297" s="28">
        <v>987.88</v>
      </c>
      <c r="D297" s="80">
        <v>1017.52</v>
      </c>
      <c r="E297" s="28">
        <v>1048.03</v>
      </c>
      <c r="F297" s="80">
        <v>1079.48</v>
      </c>
      <c r="G297" s="81">
        <v>1228.32</v>
      </c>
      <c r="H297" s="82">
        <v>959.1</v>
      </c>
      <c r="I297" s="28">
        <v>987.88</v>
      </c>
      <c r="J297" s="80">
        <v>1017.52</v>
      </c>
      <c r="K297" s="28">
        <v>1048.03</v>
      </c>
      <c r="L297" s="80">
        <v>1079.48</v>
      </c>
      <c r="M297" s="81">
        <v>1228.32</v>
      </c>
      <c r="N297" s="82">
        <v>1003.45</v>
      </c>
      <c r="O297" s="28">
        <v>1043.5899999999999</v>
      </c>
      <c r="P297" s="80">
        <v>1085.3399999999999</v>
      </c>
      <c r="Q297" s="28">
        <v>1128.74</v>
      </c>
      <c r="R297" s="80">
        <v>1253.8399999999999</v>
      </c>
      <c r="S297" s="81">
        <v>1304</v>
      </c>
      <c r="T297" s="33">
        <v>1305.1099999999999</v>
      </c>
      <c r="U297" s="34">
        <v>1370.36</v>
      </c>
      <c r="V297" s="35">
        <v>1438.89</v>
      </c>
      <c r="W297" s="34">
        <v>1510.83</v>
      </c>
      <c r="X297" s="35">
        <v>1586.38</v>
      </c>
      <c r="Y297" s="34">
        <v>1665.7</v>
      </c>
      <c r="Z297" s="36">
        <v>1748.98</v>
      </c>
    </row>
    <row r="298" spans="1:26" x14ac:dyDescent="0.2">
      <c r="A298" s="96">
        <v>43709</v>
      </c>
      <c r="B298" s="82">
        <v>959.1</v>
      </c>
      <c r="C298" s="28">
        <v>987.88</v>
      </c>
      <c r="D298" s="80">
        <v>1017.52</v>
      </c>
      <c r="E298" s="28">
        <v>1048.03</v>
      </c>
      <c r="F298" s="80">
        <v>1079.48</v>
      </c>
      <c r="G298" s="81">
        <v>1228.32</v>
      </c>
      <c r="H298" s="82">
        <v>959.1</v>
      </c>
      <c r="I298" s="28">
        <v>987.88</v>
      </c>
      <c r="J298" s="80">
        <v>1017.52</v>
      </c>
      <c r="K298" s="28">
        <v>1048.03</v>
      </c>
      <c r="L298" s="80">
        <v>1079.48</v>
      </c>
      <c r="M298" s="81">
        <v>1228.32</v>
      </c>
      <c r="N298" s="82">
        <v>1003.45</v>
      </c>
      <c r="O298" s="28">
        <v>1043.5899999999999</v>
      </c>
      <c r="P298" s="80">
        <v>1085.3399999999999</v>
      </c>
      <c r="Q298" s="28">
        <v>1128.74</v>
      </c>
      <c r="R298" s="80">
        <v>1253.8399999999999</v>
      </c>
      <c r="S298" s="81">
        <v>1304</v>
      </c>
      <c r="T298" s="33">
        <v>1305.1099999999999</v>
      </c>
      <c r="U298" s="34">
        <v>1370.36</v>
      </c>
      <c r="V298" s="35">
        <v>1438.89</v>
      </c>
      <c r="W298" s="34">
        <v>1510.83</v>
      </c>
      <c r="X298" s="35">
        <v>1586.38</v>
      </c>
      <c r="Y298" s="34">
        <v>1665.7</v>
      </c>
      <c r="Z298" s="36">
        <v>1748.98</v>
      </c>
    </row>
    <row r="299" spans="1:26" x14ac:dyDescent="0.2">
      <c r="A299" s="96">
        <v>43739</v>
      </c>
      <c r="B299" s="82">
        <v>959.1</v>
      </c>
      <c r="C299" s="28">
        <v>987.88</v>
      </c>
      <c r="D299" s="80">
        <v>1017.52</v>
      </c>
      <c r="E299" s="28">
        <v>1048.03</v>
      </c>
      <c r="F299" s="80">
        <v>1079.48</v>
      </c>
      <c r="G299" s="81">
        <v>1228.32</v>
      </c>
      <c r="H299" s="82">
        <v>959.1</v>
      </c>
      <c r="I299" s="28">
        <v>987.88</v>
      </c>
      <c r="J299" s="80">
        <v>1017.52</v>
      </c>
      <c r="K299" s="28">
        <v>1048.03</v>
      </c>
      <c r="L299" s="80">
        <v>1079.48</v>
      </c>
      <c r="M299" s="81">
        <v>1228.32</v>
      </c>
      <c r="N299" s="82">
        <v>1003.45</v>
      </c>
      <c r="O299" s="28">
        <v>1043.5899999999999</v>
      </c>
      <c r="P299" s="80">
        <v>1085.3399999999999</v>
      </c>
      <c r="Q299" s="28">
        <v>1128.74</v>
      </c>
      <c r="R299" s="80">
        <v>1253.8399999999999</v>
      </c>
      <c r="S299" s="81">
        <v>1304</v>
      </c>
      <c r="T299" s="33">
        <v>1305.1099999999999</v>
      </c>
      <c r="U299" s="34">
        <v>1370.36</v>
      </c>
      <c r="V299" s="35">
        <v>1438.89</v>
      </c>
      <c r="W299" s="34">
        <v>1510.83</v>
      </c>
      <c r="X299" s="35">
        <v>1586.38</v>
      </c>
      <c r="Y299" s="34">
        <v>1665.7</v>
      </c>
      <c r="Z299" s="36">
        <v>1748.98</v>
      </c>
    </row>
    <row r="300" spans="1:26" x14ac:dyDescent="0.2">
      <c r="A300" s="96">
        <v>43770</v>
      </c>
      <c r="B300" s="82">
        <v>959.1</v>
      </c>
      <c r="C300" s="28">
        <v>987.88</v>
      </c>
      <c r="D300" s="80">
        <v>1017.52</v>
      </c>
      <c r="E300" s="28">
        <v>1048.03</v>
      </c>
      <c r="F300" s="80">
        <v>1079.48</v>
      </c>
      <c r="G300" s="81">
        <v>1228.32</v>
      </c>
      <c r="H300" s="82">
        <v>959.1</v>
      </c>
      <c r="I300" s="28">
        <v>987.88</v>
      </c>
      <c r="J300" s="80">
        <v>1017.52</v>
      </c>
      <c r="K300" s="28">
        <v>1048.03</v>
      </c>
      <c r="L300" s="80">
        <v>1079.48</v>
      </c>
      <c r="M300" s="81">
        <v>1228.32</v>
      </c>
      <c r="N300" s="82">
        <v>1003.45</v>
      </c>
      <c r="O300" s="28">
        <v>1043.5899999999999</v>
      </c>
      <c r="P300" s="80">
        <v>1085.3399999999999</v>
      </c>
      <c r="Q300" s="28">
        <v>1128.74</v>
      </c>
      <c r="R300" s="80">
        <v>1253.8399999999999</v>
      </c>
      <c r="S300" s="81">
        <v>1304</v>
      </c>
      <c r="T300" s="33">
        <v>1305.1099999999999</v>
      </c>
      <c r="U300" s="34">
        <v>1370.36</v>
      </c>
      <c r="V300" s="35">
        <v>1438.89</v>
      </c>
      <c r="W300" s="34">
        <v>1510.83</v>
      </c>
      <c r="X300" s="35">
        <v>1586.38</v>
      </c>
      <c r="Y300" s="34">
        <v>1665.7</v>
      </c>
      <c r="Z300" s="36">
        <v>1748.98</v>
      </c>
    </row>
    <row r="301" spans="1:26" ht="13.5" thickBot="1" x14ac:dyDescent="0.25">
      <c r="A301" s="96">
        <v>43800</v>
      </c>
      <c r="B301" s="90">
        <v>959.1</v>
      </c>
      <c r="C301" s="87">
        <v>987.88</v>
      </c>
      <c r="D301" s="88">
        <v>1017.52</v>
      </c>
      <c r="E301" s="87">
        <v>1048.03</v>
      </c>
      <c r="F301" s="88">
        <v>1079.48</v>
      </c>
      <c r="G301" s="89">
        <v>1228.32</v>
      </c>
      <c r="H301" s="90">
        <v>959.1</v>
      </c>
      <c r="I301" s="87">
        <v>987.88</v>
      </c>
      <c r="J301" s="88">
        <v>1017.52</v>
      </c>
      <c r="K301" s="87">
        <v>1048.03</v>
      </c>
      <c r="L301" s="88">
        <v>1079.48</v>
      </c>
      <c r="M301" s="89">
        <v>1228.32</v>
      </c>
      <c r="N301" s="90">
        <v>1003.45</v>
      </c>
      <c r="O301" s="87">
        <v>1043.5899999999999</v>
      </c>
      <c r="P301" s="88">
        <v>1085.3399999999999</v>
      </c>
      <c r="Q301" s="87">
        <v>1128.74</v>
      </c>
      <c r="R301" s="88">
        <v>1253.8399999999999</v>
      </c>
      <c r="S301" s="89">
        <v>1304</v>
      </c>
      <c r="T301" s="45">
        <v>1305.1099999999999</v>
      </c>
      <c r="U301" s="43">
        <v>1370.36</v>
      </c>
      <c r="V301" s="42">
        <v>1438.89</v>
      </c>
      <c r="W301" s="43">
        <v>1510.83</v>
      </c>
      <c r="X301" s="42">
        <v>1586.38</v>
      </c>
      <c r="Y301" s="43">
        <v>1665.7</v>
      </c>
      <c r="Z301" s="44">
        <v>1748.98</v>
      </c>
    </row>
    <row r="302" spans="1:26" x14ac:dyDescent="0.2">
      <c r="A302" s="96">
        <v>43831</v>
      </c>
      <c r="B302" s="93">
        <v>959.1</v>
      </c>
      <c r="C302" s="28">
        <v>987.88</v>
      </c>
      <c r="D302" s="80">
        <v>1017.52</v>
      </c>
      <c r="E302" s="28">
        <v>1048.03</v>
      </c>
      <c r="F302" s="80">
        <v>1079.48</v>
      </c>
      <c r="G302" s="81">
        <v>1228.32</v>
      </c>
      <c r="H302" s="82">
        <v>959.1</v>
      </c>
      <c r="I302" s="28">
        <v>987.88</v>
      </c>
      <c r="J302" s="80">
        <v>1017.52</v>
      </c>
      <c r="K302" s="28">
        <v>1048.03</v>
      </c>
      <c r="L302" s="80">
        <v>1079.48</v>
      </c>
      <c r="M302" s="81">
        <v>1228.32</v>
      </c>
      <c r="N302" s="82">
        <v>1003.45</v>
      </c>
      <c r="O302" s="28">
        <v>1043.5899999999999</v>
      </c>
      <c r="P302" s="80">
        <v>1085.3399999999999</v>
      </c>
      <c r="Q302" s="28">
        <v>1128.74</v>
      </c>
      <c r="R302" s="80">
        <v>1253.8399999999999</v>
      </c>
      <c r="S302" s="81">
        <v>1304</v>
      </c>
      <c r="T302" s="33">
        <v>1305.1099999999999</v>
      </c>
      <c r="U302" s="34">
        <v>1370.36</v>
      </c>
      <c r="V302" s="35">
        <v>1438.89</v>
      </c>
      <c r="W302" s="34">
        <v>1510.83</v>
      </c>
      <c r="X302" s="35">
        <v>1586.38</v>
      </c>
      <c r="Y302" s="34">
        <v>1665.7</v>
      </c>
      <c r="Z302" s="36">
        <v>1748.98</v>
      </c>
    </row>
    <row r="303" spans="1:26" x14ac:dyDescent="0.2">
      <c r="A303" s="96">
        <v>43862</v>
      </c>
      <c r="B303" s="135">
        <v>959.1</v>
      </c>
      <c r="C303" s="136">
        <v>987.88</v>
      </c>
      <c r="D303" s="137">
        <v>1017.52</v>
      </c>
      <c r="E303" s="136">
        <v>1048.03</v>
      </c>
      <c r="F303" s="137">
        <v>1079.48</v>
      </c>
      <c r="G303" s="81">
        <v>1443.12</v>
      </c>
      <c r="H303" s="144">
        <v>959.1</v>
      </c>
      <c r="I303" s="136">
        <v>987.88</v>
      </c>
      <c r="J303" s="137">
        <v>1017.52</v>
      </c>
      <c r="K303" s="136">
        <v>1048.03</v>
      </c>
      <c r="L303" s="137">
        <v>1079.48</v>
      </c>
      <c r="M303" s="81">
        <v>1443.12</v>
      </c>
      <c r="N303" s="144">
        <v>1003.45</v>
      </c>
      <c r="O303" s="136">
        <v>1043.5899999999999</v>
      </c>
      <c r="P303" s="137">
        <v>1085.3399999999999</v>
      </c>
      <c r="Q303" s="136">
        <v>1128.74</v>
      </c>
      <c r="R303" s="137">
        <v>1253.8399999999999</v>
      </c>
      <c r="S303" s="81">
        <v>1443.12</v>
      </c>
      <c r="T303" s="149">
        <v>1305.1099999999999</v>
      </c>
      <c r="U303" s="34">
        <v>1443.12</v>
      </c>
      <c r="V303" s="35">
        <v>1510.83</v>
      </c>
      <c r="W303" s="34">
        <v>1586.37</v>
      </c>
      <c r="X303" s="35">
        <v>1665.7</v>
      </c>
      <c r="Y303" s="34">
        <v>1748.99</v>
      </c>
      <c r="Z303" s="36">
        <v>1836.43</v>
      </c>
    </row>
    <row r="304" spans="1:26" x14ac:dyDescent="0.2">
      <c r="A304" s="96">
        <v>43891</v>
      </c>
      <c r="B304" s="135">
        <v>959.1</v>
      </c>
      <c r="C304" s="136">
        <v>987.88</v>
      </c>
      <c r="D304" s="137">
        <v>1017.52</v>
      </c>
      <c r="E304" s="136">
        <v>1048.03</v>
      </c>
      <c r="F304" s="137">
        <v>1079.48</v>
      </c>
      <c r="G304" s="81">
        <v>1443.12</v>
      </c>
      <c r="H304" s="144">
        <v>959.1</v>
      </c>
      <c r="I304" s="136">
        <v>987.88</v>
      </c>
      <c r="J304" s="137">
        <v>1017.52</v>
      </c>
      <c r="K304" s="136">
        <v>1048.03</v>
      </c>
      <c r="L304" s="137">
        <v>1079.48</v>
      </c>
      <c r="M304" s="81">
        <v>1443.12</v>
      </c>
      <c r="N304" s="144">
        <v>1003.45</v>
      </c>
      <c r="O304" s="136">
        <v>1043.5899999999999</v>
      </c>
      <c r="P304" s="137">
        <v>1085.3399999999999</v>
      </c>
      <c r="Q304" s="136">
        <v>1128.74</v>
      </c>
      <c r="R304" s="137">
        <v>1253.8399999999999</v>
      </c>
      <c r="S304" s="81">
        <v>1443.12</v>
      </c>
      <c r="T304" s="149">
        <v>1305.1099999999999</v>
      </c>
      <c r="U304" s="34">
        <v>1443.12</v>
      </c>
      <c r="V304" s="35">
        <v>1510.83</v>
      </c>
      <c r="W304" s="34">
        <v>1586.37</v>
      </c>
      <c r="X304" s="35">
        <v>1665.7</v>
      </c>
      <c r="Y304" s="34">
        <v>1748.99</v>
      </c>
      <c r="Z304" s="36">
        <v>1836.43</v>
      </c>
    </row>
    <row r="305" spans="1:26" x14ac:dyDescent="0.2">
      <c r="A305" s="96">
        <v>43922</v>
      </c>
      <c r="B305" s="135">
        <v>959.1</v>
      </c>
      <c r="C305" s="136">
        <v>987.88</v>
      </c>
      <c r="D305" s="137">
        <v>1017.52</v>
      </c>
      <c r="E305" s="136">
        <v>1048.03</v>
      </c>
      <c r="F305" s="137">
        <v>1079.48</v>
      </c>
      <c r="G305" s="81">
        <v>1443.12</v>
      </c>
      <c r="H305" s="144">
        <v>959.1</v>
      </c>
      <c r="I305" s="136">
        <v>987.88</v>
      </c>
      <c r="J305" s="137">
        <v>1017.52</v>
      </c>
      <c r="K305" s="136">
        <v>1048.03</v>
      </c>
      <c r="L305" s="137">
        <v>1079.48</v>
      </c>
      <c r="M305" s="81">
        <v>1443.12</v>
      </c>
      <c r="N305" s="144">
        <v>1003.45</v>
      </c>
      <c r="O305" s="136">
        <v>1043.5899999999999</v>
      </c>
      <c r="P305" s="137">
        <v>1085.3399999999999</v>
      </c>
      <c r="Q305" s="136">
        <v>1128.74</v>
      </c>
      <c r="R305" s="137">
        <v>1253.8399999999999</v>
      </c>
      <c r="S305" s="81">
        <v>1443.12</v>
      </c>
      <c r="T305" s="149">
        <v>1305.1099999999999</v>
      </c>
      <c r="U305" s="34">
        <v>1443.12</v>
      </c>
      <c r="V305" s="35">
        <v>1510.83</v>
      </c>
      <c r="W305" s="34">
        <v>1586.37</v>
      </c>
      <c r="X305" s="35">
        <v>1665.7</v>
      </c>
      <c r="Y305" s="34">
        <v>1748.99</v>
      </c>
      <c r="Z305" s="36">
        <v>1836.43</v>
      </c>
    </row>
    <row r="306" spans="1:26" x14ac:dyDescent="0.2">
      <c r="A306" s="96">
        <v>43952</v>
      </c>
      <c r="B306" s="135">
        <v>959.1</v>
      </c>
      <c r="C306" s="136">
        <v>987.88</v>
      </c>
      <c r="D306" s="137">
        <v>1017.52</v>
      </c>
      <c r="E306" s="136">
        <v>1048.03</v>
      </c>
      <c r="F306" s="137">
        <v>1079.48</v>
      </c>
      <c r="G306" s="81">
        <v>1443.12</v>
      </c>
      <c r="H306" s="144">
        <v>959.1</v>
      </c>
      <c r="I306" s="136">
        <v>987.88</v>
      </c>
      <c r="J306" s="137">
        <v>1017.52</v>
      </c>
      <c r="K306" s="136">
        <v>1048.03</v>
      </c>
      <c r="L306" s="137">
        <v>1079.48</v>
      </c>
      <c r="M306" s="81">
        <v>1443.12</v>
      </c>
      <c r="N306" s="144">
        <v>1003.45</v>
      </c>
      <c r="O306" s="136">
        <v>1043.5899999999999</v>
      </c>
      <c r="P306" s="137">
        <v>1085.3399999999999</v>
      </c>
      <c r="Q306" s="136">
        <v>1128.74</v>
      </c>
      <c r="R306" s="137">
        <v>1253.8399999999999</v>
      </c>
      <c r="S306" s="81">
        <v>1443.12</v>
      </c>
      <c r="T306" s="149">
        <v>1305.1099999999999</v>
      </c>
      <c r="U306" s="34">
        <v>1443.12</v>
      </c>
      <c r="V306" s="35">
        <v>1510.83</v>
      </c>
      <c r="W306" s="34">
        <v>1586.37</v>
      </c>
      <c r="X306" s="35">
        <v>1665.7</v>
      </c>
      <c r="Y306" s="34">
        <v>1748.99</v>
      </c>
      <c r="Z306" s="36">
        <v>1836.43</v>
      </c>
    </row>
    <row r="307" spans="1:26" x14ac:dyDescent="0.2">
      <c r="A307" s="96">
        <v>43983</v>
      </c>
      <c r="B307" s="135">
        <v>959.1</v>
      </c>
      <c r="C307" s="136">
        <v>987.88</v>
      </c>
      <c r="D307" s="137">
        <v>1017.52</v>
      </c>
      <c r="E307" s="136">
        <v>1048.03</v>
      </c>
      <c r="F307" s="137">
        <v>1079.48</v>
      </c>
      <c r="G307" s="81">
        <v>1443.12</v>
      </c>
      <c r="H307" s="144">
        <v>959.1</v>
      </c>
      <c r="I307" s="136">
        <v>987.88</v>
      </c>
      <c r="J307" s="137">
        <v>1017.52</v>
      </c>
      <c r="K307" s="136">
        <v>1048.03</v>
      </c>
      <c r="L307" s="137">
        <v>1079.48</v>
      </c>
      <c r="M307" s="81">
        <v>1443.12</v>
      </c>
      <c r="N307" s="144">
        <v>1003.45</v>
      </c>
      <c r="O307" s="136">
        <v>1043.5899999999999</v>
      </c>
      <c r="P307" s="137">
        <v>1085.3399999999999</v>
      </c>
      <c r="Q307" s="136">
        <v>1128.74</v>
      </c>
      <c r="R307" s="137">
        <v>1253.8399999999999</v>
      </c>
      <c r="S307" s="81">
        <v>1443.12</v>
      </c>
      <c r="T307" s="149">
        <v>1305.1099999999999</v>
      </c>
      <c r="U307" s="34">
        <v>1443.12</v>
      </c>
      <c r="V307" s="35">
        <v>1510.83</v>
      </c>
      <c r="W307" s="34">
        <v>1586.37</v>
      </c>
      <c r="X307" s="35">
        <v>1665.7</v>
      </c>
      <c r="Y307" s="34">
        <v>1748.99</v>
      </c>
      <c r="Z307" s="36">
        <v>1836.43</v>
      </c>
    </row>
    <row r="308" spans="1:26" x14ac:dyDescent="0.2">
      <c r="A308" s="96">
        <v>44013</v>
      </c>
      <c r="B308" s="135">
        <v>959.1</v>
      </c>
      <c r="C308" s="136">
        <v>987.88</v>
      </c>
      <c r="D308" s="137">
        <v>1017.52</v>
      </c>
      <c r="E308" s="136">
        <v>1048.03</v>
      </c>
      <c r="F308" s="137">
        <v>1079.48</v>
      </c>
      <c r="G308" s="81">
        <v>1443.12</v>
      </c>
      <c r="H308" s="144">
        <v>959.1</v>
      </c>
      <c r="I308" s="136">
        <v>987.88</v>
      </c>
      <c r="J308" s="137">
        <v>1017.52</v>
      </c>
      <c r="K308" s="136">
        <v>1048.03</v>
      </c>
      <c r="L308" s="137">
        <v>1079.48</v>
      </c>
      <c r="M308" s="81">
        <v>1443.12</v>
      </c>
      <c r="N308" s="144">
        <v>1003.45</v>
      </c>
      <c r="O308" s="136">
        <v>1043.5899999999999</v>
      </c>
      <c r="P308" s="137">
        <v>1085.3399999999999</v>
      </c>
      <c r="Q308" s="136">
        <v>1128.74</v>
      </c>
      <c r="R308" s="137">
        <v>1253.8399999999999</v>
      </c>
      <c r="S308" s="81">
        <v>1443.12</v>
      </c>
      <c r="T308" s="149">
        <v>1305.1099999999999</v>
      </c>
      <c r="U308" s="34">
        <v>1443.12</v>
      </c>
      <c r="V308" s="35">
        <v>1510.83</v>
      </c>
      <c r="W308" s="34">
        <v>1586.37</v>
      </c>
      <c r="X308" s="35">
        <v>1665.7</v>
      </c>
      <c r="Y308" s="34">
        <v>1748.99</v>
      </c>
      <c r="Z308" s="36">
        <v>1836.43</v>
      </c>
    </row>
    <row r="309" spans="1:26" x14ac:dyDescent="0.2">
      <c r="A309" s="96">
        <v>44044</v>
      </c>
      <c r="B309" s="135">
        <v>959.1</v>
      </c>
      <c r="C309" s="136">
        <v>987.88</v>
      </c>
      <c r="D309" s="137">
        <v>1017.52</v>
      </c>
      <c r="E309" s="136">
        <v>1048.03</v>
      </c>
      <c r="F309" s="137">
        <v>1079.48</v>
      </c>
      <c r="G309" s="81">
        <v>1443.12</v>
      </c>
      <c r="H309" s="144">
        <v>959.1</v>
      </c>
      <c r="I309" s="136">
        <v>987.88</v>
      </c>
      <c r="J309" s="137">
        <v>1017.52</v>
      </c>
      <c r="K309" s="136">
        <v>1048.03</v>
      </c>
      <c r="L309" s="137">
        <v>1079.48</v>
      </c>
      <c r="M309" s="81">
        <v>1443.12</v>
      </c>
      <c r="N309" s="144">
        <v>1003.45</v>
      </c>
      <c r="O309" s="136">
        <v>1043.5899999999999</v>
      </c>
      <c r="P309" s="137">
        <v>1085.3399999999999</v>
      </c>
      <c r="Q309" s="136">
        <v>1128.74</v>
      </c>
      <c r="R309" s="137">
        <v>1253.8399999999999</v>
      </c>
      <c r="S309" s="81">
        <v>1443.12</v>
      </c>
      <c r="T309" s="149">
        <v>1305.1099999999999</v>
      </c>
      <c r="U309" s="34">
        <v>1443.12</v>
      </c>
      <c r="V309" s="35">
        <v>1510.83</v>
      </c>
      <c r="W309" s="34">
        <v>1586.37</v>
      </c>
      <c r="X309" s="35">
        <v>1665.7</v>
      </c>
      <c r="Y309" s="34">
        <v>1748.99</v>
      </c>
      <c r="Z309" s="36">
        <v>1836.43</v>
      </c>
    </row>
    <row r="310" spans="1:26" x14ac:dyDescent="0.2">
      <c r="A310" s="96">
        <v>44075</v>
      </c>
      <c r="B310" s="135">
        <v>959.1</v>
      </c>
      <c r="C310" s="136">
        <v>987.88</v>
      </c>
      <c r="D310" s="137">
        <v>1017.52</v>
      </c>
      <c r="E310" s="136">
        <v>1048.03</v>
      </c>
      <c r="F310" s="137">
        <v>1079.48</v>
      </c>
      <c r="G310" s="81">
        <v>1443.12</v>
      </c>
      <c r="H310" s="144">
        <v>959.1</v>
      </c>
      <c r="I310" s="136">
        <v>987.88</v>
      </c>
      <c r="J310" s="137">
        <v>1017.52</v>
      </c>
      <c r="K310" s="136">
        <v>1048.03</v>
      </c>
      <c r="L310" s="137">
        <v>1079.48</v>
      </c>
      <c r="M310" s="81">
        <v>1443.12</v>
      </c>
      <c r="N310" s="144">
        <v>1003.45</v>
      </c>
      <c r="O310" s="136">
        <v>1043.5899999999999</v>
      </c>
      <c r="P310" s="137">
        <v>1085.3399999999999</v>
      </c>
      <c r="Q310" s="136">
        <v>1128.74</v>
      </c>
      <c r="R310" s="137">
        <v>1253.8399999999999</v>
      </c>
      <c r="S310" s="81">
        <v>1443.12</v>
      </c>
      <c r="T310" s="149">
        <v>1305.1099999999999</v>
      </c>
      <c r="U310" s="34">
        <v>1443.12</v>
      </c>
      <c r="V310" s="35">
        <v>1510.83</v>
      </c>
      <c r="W310" s="34">
        <v>1586.37</v>
      </c>
      <c r="X310" s="35">
        <v>1665.7</v>
      </c>
      <c r="Y310" s="34">
        <v>1748.99</v>
      </c>
      <c r="Z310" s="36">
        <v>1836.43</v>
      </c>
    </row>
    <row r="311" spans="1:26" x14ac:dyDescent="0.2">
      <c r="A311" s="96">
        <v>44105</v>
      </c>
      <c r="B311" s="135">
        <v>959.1</v>
      </c>
      <c r="C311" s="136">
        <v>987.88</v>
      </c>
      <c r="D311" s="137">
        <v>1017.52</v>
      </c>
      <c r="E311" s="136">
        <v>1048.03</v>
      </c>
      <c r="F311" s="137">
        <v>1079.48</v>
      </c>
      <c r="G311" s="81">
        <v>1443.12</v>
      </c>
      <c r="H311" s="144">
        <v>959.1</v>
      </c>
      <c r="I311" s="136">
        <v>987.88</v>
      </c>
      <c r="J311" s="137">
        <v>1017.52</v>
      </c>
      <c r="K311" s="136">
        <v>1048.03</v>
      </c>
      <c r="L311" s="137">
        <v>1079.48</v>
      </c>
      <c r="M311" s="81">
        <v>1443.12</v>
      </c>
      <c r="N311" s="144">
        <v>1003.45</v>
      </c>
      <c r="O311" s="136">
        <v>1043.5899999999999</v>
      </c>
      <c r="P311" s="137">
        <v>1085.3399999999999</v>
      </c>
      <c r="Q311" s="136">
        <v>1128.74</v>
      </c>
      <c r="R311" s="137">
        <v>1253.8399999999999</v>
      </c>
      <c r="S311" s="81">
        <v>1443.12</v>
      </c>
      <c r="T311" s="149">
        <v>1305.1099999999999</v>
      </c>
      <c r="U311" s="34">
        <v>1443.12</v>
      </c>
      <c r="V311" s="35">
        <v>1510.83</v>
      </c>
      <c r="W311" s="34">
        <v>1586.37</v>
      </c>
      <c r="X311" s="35">
        <v>1665.7</v>
      </c>
      <c r="Y311" s="34">
        <v>1748.99</v>
      </c>
      <c r="Z311" s="36">
        <v>1836.43</v>
      </c>
    </row>
    <row r="312" spans="1:26" x14ac:dyDescent="0.2">
      <c r="A312" s="96">
        <v>44136</v>
      </c>
      <c r="B312" s="135">
        <v>959.1</v>
      </c>
      <c r="C312" s="136">
        <v>987.88</v>
      </c>
      <c r="D312" s="137">
        <v>1017.52</v>
      </c>
      <c r="E312" s="136">
        <v>1048.03</v>
      </c>
      <c r="F312" s="137">
        <v>1079.48</v>
      </c>
      <c r="G312" s="81">
        <v>1443.12</v>
      </c>
      <c r="H312" s="144">
        <v>959.1</v>
      </c>
      <c r="I312" s="136">
        <v>987.88</v>
      </c>
      <c r="J312" s="137">
        <v>1017.52</v>
      </c>
      <c r="K312" s="136">
        <v>1048.03</v>
      </c>
      <c r="L312" s="137">
        <v>1079.48</v>
      </c>
      <c r="M312" s="81">
        <v>1443.12</v>
      </c>
      <c r="N312" s="144">
        <v>1003.45</v>
      </c>
      <c r="O312" s="136">
        <v>1043.5899999999999</v>
      </c>
      <c r="P312" s="137">
        <v>1085.3399999999999</v>
      </c>
      <c r="Q312" s="136">
        <v>1128.74</v>
      </c>
      <c r="R312" s="137">
        <v>1253.8399999999999</v>
      </c>
      <c r="S312" s="81">
        <v>1443.12</v>
      </c>
      <c r="T312" s="149">
        <v>1305.1099999999999</v>
      </c>
      <c r="U312" s="34">
        <v>1443.12</v>
      </c>
      <c r="V312" s="35">
        <v>1510.83</v>
      </c>
      <c r="W312" s="34">
        <v>1586.37</v>
      </c>
      <c r="X312" s="35">
        <v>1665.7</v>
      </c>
      <c r="Y312" s="34">
        <v>1748.99</v>
      </c>
      <c r="Z312" s="36">
        <v>1836.43</v>
      </c>
    </row>
    <row r="313" spans="1:26" ht="13.5" thickBot="1" x14ac:dyDescent="0.25">
      <c r="A313" s="97">
        <v>44166</v>
      </c>
      <c r="B313" s="138">
        <v>959.1</v>
      </c>
      <c r="C313" s="139">
        <v>987.88</v>
      </c>
      <c r="D313" s="140">
        <v>1017.52</v>
      </c>
      <c r="E313" s="139">
        <v>1048.03</v>
      </c>
      <c r="F313" s="140">
        <v>1079.48</v>
      </c>
      <c r="G313" s="85">
        <v>1443.12</v>
      </c>
      <c r="H313" s="148">
        <v>959.1</v>
      </c>
      <c r="I313" s="139">
        <v>987.88</v>
      </c>
      <c r="J313" s="140">
        <v>1017.52</v>
      </c>
      <c r="K313" s="139">
        <v>1048.03</v>
      </c>
      <c r="L313" s="140">
        <v>1079.48</v>
      </c>
      <c r="M313" s="85">
        <v>1443.12</v>
      </c>
      <c r="N313" s="148">
        <v>1003.45</v>
      </c>
      <c r="O313" s="139">
        <v>1043.5899999999999</v>
      </c>
      <c r="P313" s="140">
        <v>1085.3399999999999</v>
      </c>
      <c r="Q313" s="139">
        <v>1128.74</v>
      </c>
      <c r="R313" s="140">
        <v>1253.8399999999999</v>
      </c>
      <c r="S313" s="85">
        <v>1443.12</v>
      </c>
      <c r="T313" s="150">
        <v>1305.1099999999999</v>
      </c>
      <c r="U313" s="39">
        <v>1443.12</v>
      </c>
      <c r="V313" s="40">
        <v>1510.83</v>
      </c>
      <c r="W313" s="39">
        <v>1586.37</v>
      </c>
      <c r="X313" s="40">
        <v>1665.7</v>
      </c>
      <c r="Y313" s="39">
        <v>1748.99</v>
      </c>
      <c r="Z313" s="41">
        <v>1836.43</v>
      </c>
    </row>
    <row r="314" spans="1:26" x14ac:dyDescent="0.2">
      <c r="A314" s="94">
        <v>44197</v>
      </c>
      <c r="B314" s="141">
        <v>959.1</v>
      </c>
      <c r="C314" s="142">
        <v>987.88</v>
      </c>
      <c r="D314" s="143">
        <v>1017.52</v>
      </c>
      <c r="E314" s="142">
        <v>1048.03</v>
      </c>
      <c r="F314" s="143">
        <v>1079.48</v>
      </c>
      <c r="G314" s="103">
        <v>1443.12</v>
      </c>
      <c r="H314" s="141">
        <v>959.1</v>
      </c>
      <c r="I314" s="142">
        <v>987.88</v>
      </c>
      <c r="J314" s="143">
        <v>1017.52</v>
      </c>
      <c r="K314" s="142">
        <v>1048.03</v>
      </c>
      <c r="L314" s="143">
        <v>1079.48</v>
      </c>
      <c r="M314" s="103">
        <v>1443.12</v>
      </c>
      <c r="N314" s="141">
        <v>1003.45</v>
      </c>
      <c r="O314" s="142">
        <v>1043.5899999999999</v>
      </c>
      <c r="P314" s="143">
        <v>1085.3399999999999</v>
      </c>
      <c r="Q314" s="142">
        <v>1128.74</v>
      </c>
      <c r="R314" s="143">
        <v>1253.8399999999999</v>
      </c>
      <c r="S314" s="103">
        <v>1443.12</v>
      </c>
      <c r="T314" s="151">
        <v>1305.1099999999999</v>
      </c>
      <c r="U314" s="105">
        <v>1443.12</v>
      </c>
      <c r="V314" s="106">
        <v>1510.83</v>
      </c>
      <c r="W314" s="105">
        <v>1586.37</v>
      </c>
      <c r="X314" s="106">
        <v>1665.7</v>
      </c>
      <c r="Y314" s="105">
        <v>1748.99</v>
      </c>
      <c r="Z314" s="107">
        <v>1836.43</v>
      </c>
    </row>
    <row r="315" spans="1:26" x14ac:dyDescent="0.2">
      <c r="A315" s="96">
        <v>44228</v>
      </c>
      <c r="B315" s="144">
        <v>959.1</v>
      </c>
      <c r="C315" s="136">
        <v>987.88</v>
      </c>
      <c r="D315" s="137">
        <v>1017.52</v>
      </c>
      <c r="E315" s="136">
        <v>1048.03</v>
      </c>
      <c r="F315" s="137">
        <v>1079.48</v>
      </c>
      <c r="G315" s="81">
        <v>1443.12</v>
      </c>
      <c r="H315" s="144">
        <v>959.1</v>
      </c>
      <c r="I315" s="136">
        <v>987.88</v>
      </c>
      <c r="J315" s="137">
        <v>1017.52</v>
      </c>
      <c r="K315" s="136">
        <v>1048.03</v>
      </c>
      <c r="L315" s="137">
        <v>1079.48</v>
      </c>
      <c r="M315" s="81">
        <v>1443.12</v>
      </c>
      <c r="N315" s="144">
        <v>1003.45</v>
      </c>
      <c r="O315" s="136">
        <v>1043.5899999999999</v>
      </c>
      <c r="P315" s="137">
        <v>1085.3399999999999</v>
      </c>
      <c r="Q315" s="136">
        <v>1128.74</v>
      </c>
      <c r="R315" s="137">
        <v>1253.8399999999999</v>
      </c>
      <c r="S315" s="81">
        <v>1443.12</v>
      </c>
      <c r="T315" s="149">
        <v>1305.1099999999999</v>
      </c>
      <c r="U315" s="34">
        <v>1443.12</v>
      </c>
      <c r="V315" s="35">
        <v>1510.83</v>
      </c>
      <c r="W315" s="34">
        <v>1586.37</v>
      </c>
      <c r="X315" s="35">
        <v>1665.7</v>
      </c>
      <c r="Y315" s="34">
        <v>1748.99</v>
      </c>
      <c r="Z315" s="36">
        <v>1836.43</v>
      </c>
    </row>
    <row r="316" spans="1:26" x14ac:dyDescent="0.2">
      <c r="A316" s="96">
        <v>44256</v>
      </c>
      <c r="B316" s="144">
        <v>959.1</v>
      </c>
      <c r="C316" s="136">
        <v>987.88</v>
      </c>
      <c r="D316" s="137">
        <v>1017.52</v>
      </c>
      <c r="E316" s="136">
        <v>1048.03</v>
      </c>
      <c r="F316" s="137">
        <v>1079.48</v>
      </c>
      <c r="G316" s="81">
        <v>1443.12</v>
      </c>
      <c r="H316" s="144">
        <v>959.1</v>
      </c>
      <c r="I316" s="136">
        <v>987.88</v>
      </c>
      <c r="J316" s="137">
        <v>1017.52</v>
      </c>
      <c r="K316" s="136">
        <v>1048.03</v>
      </c>
      <c r="L316" s="137">
        <v>1079.48</v>
      </c>
      <c r="M316" s="81">
        <v>1443.12</v>
      </c>
      <c r="N316" s="144">
        <v>1003.45</v>
      </c>
      <c r="O316" s="136">
        <v>1043.5899999999999</v>
      </c>
      <c r="P316" s="137">
        <v>1085.3399999999999</v>
      </c>
      <c r="Q316" s="136">
        <v>1128.74</v>
      </c>
      <c r="R316" s="137">
        <v>1253.8399999999999</v>
      </c>
      <c r="S316" s="81">
        <v>1443.12</v>
      </c>
      <c r="T316" s="149">
        <v>1305.1099999999999</v>
      </c>
      <c r="U316" s="34">
        <v>1443.12</v>
      </c>
      <c r="V316" s="35">
        <v>1510.83</v>
      </c>
      <c r="W316" s="34">
        <v>1586.37</v>
      </c>
      <c r="X316" s="35">
        <v>1665.7</v>
      </c>
      <c r="Y316" s="34">
        <v>1748.99</v>
      </c>
      <c r="Z316" s="36">
        <v>1836.43</v>
      </c>
    </row>
    <row r="317" spans="1:26" x14ac:dyDescent="0.2">
      <c r="A317" s="96">
        <v>44287</v>
      </c>
      <c r="B317" s="144">
        <v>959.1</v>
      </c>
      <c r="C317" s="136">
        <v>987.88</v>
      </c>
      <c r="D317" s="137">
        <v>1017.52</v>
      </c>
      <c r="E317" s="136">
        <v>1048.03</v>
      </c>
      <c r="F317" s="137">
        <v>1079.48</v>
      </c>
      <c r="G317" s="81">
        <v>1443.12</v>
      </c>
      <c r="H317" s="144">
        <v>959.1</v>
      </c>
      <c r="I317" s="136">
        <v>987.88</v>
      </c>
      <c r="J317" s="137">
        <v>1017.52</v>
      </c>
      <c r="K317" s="136">
        <v>1048.03</v>
      </c>
      <c r="L317" s="137">
        <v>1079.48</v>
      </c>
      <c r="M317" s="81">
        <v>1443.12</v>
      </c>
      <c r="N317" s="144">
        <v>1003.45</v>
      </c>
      <c r="O317" s="136">
        <v>1043.5899999999999</v>
      </c>
      <c r="P317" s="137">
        <v>1085.3399999999999</v>
      </c>
      <c r="Q317" s="136">
        <v>1128.74</v>
      </c>
      <c r="R317" s="137">
        <v>1253.8399999999999</v>
      </c>
      <c r="S317" s="81">
        <v>1443.12</v>
      </c>
      <c r="T317" s="149">
        <v>1305.1099999999999</v>
      </c>
      <c r="U317" s="34">
        <v>1443.12</v>
      </c>
      <c r="V317" s="35">
        <v>1510.83</v>
      </c>
      <c r="W317" s="34">
        <v>1586.37</v>
      </c>
      <c r="X317" s="35">
        <v>1665.7</v>
      </c>
      <c r="Y317" s="34">
        <v>1748.99</v>
      </c>
      <c r="Z317" s="36">
        <v>1836.43</v>
      </c>
    </row>
    <row r="318" spans="1:26" x14ac:dyDescent="0.2">
      <c r="A318" s="96">
        <v>44317</v>
      </c>
      <c r="B318" s="144">
        <v>959.1</v>
      </c>
      <c r="C318" s="136">
        <v>987.88</v>
      </c>
      <c r="D318" s="137">
        <v>1017.52</v>
      </c>
      <c r="E318" s="136">
        <v>1048.03</v>
      </c>
      <c r="F318" s="137">
        <v>1079.48</v>
      </c>
      <c r="G318" s="81">
        <v>1443.12</v>
      </c>
      <c r="H318" s="144">
        <v>959.1</v>
      </c>
      <c r="I318" s="136">
        <v>987.88</v>
      </c>
      <c r="J318" s="137">
        <v>1017.52</v>
      </c>
      <c r="K318" s="136">
        <v>1048.03</v>
      </c>
      <c r="L318" s="137">
        <v>1079.48</v>
      </c>
      <c r="M318" s="81">
        <v>1443.12</v>
      </c>
      <c r="N318" s="144">
        <v>1003.45</v>
      </c>
      <c r="O318" s="136">
        <v>1043.5899999999999</v>
      </c>
      <c r="P318" s="137">
        <v>1085.3399999999999</v>
      </c>
      <c r="Q318" s="136">
        <v>1128.74</v>
      </c>
      <c r="R318" s="137">
        <v>1253.8399999999999</v>
      </c>
      <c r="S318" s="81">
        <v>1443.12</v>
      </c>
      <c r="T318" s="149">
        <v>1305.1099999999999</v>
      </c>
      <c r="U318" s="34">
        <v>1443.12</v>
      </c>
      <c r="V318" s="35">
        <v>1510.83</v>
      </c>
      <c r="W318" s="34">
        <v>1586.37</v>
      </c>
      <c r="X318" s="35">
        <v>1665.7</v>
      </c>
      <c r="Y318" s="34">
        <v>1748.99</v>
      </c>
      <c r="Z318" s="36">
        <v>1836.43</v>
      </c>
    </row>
    <row r="319" spans="1:26" x14ac:dyDescent="0.2">
      <c r="A319" s="96">
        <v>44348</v>
      </c>
      <c r="B319" s="144">
        <v>959.1</v>
      </c>
      <c r="C319" s="136">
        <v>987.88</v>
      </c>
      <c r="D319" s="137">
        <v>1017.52</v>
      </c>
      <c r="E319" s="136">
        <v>1048.03</v>
      </c>
      <c r="F319" s="137">
        <v>1079.48</v>
      </c>
      <c r="G319" s="81">
        <v>1443.12</v>
      </c>
      <c r="H319" s="144">
        <v>959.1</v>
      </c>
      <c r="I319" s="136">
        <v>987.88</v>
      </c>
      <c r="J319" s="137">
        <v>1017.52</v>
      </c>
      <c r="K319" s="136">
        <v>1048.03</v>
      </c>
      <c r="L319" s="137">
        <v>1079.48</v>
      </c>
      <c r="M319" s="81">
        <v>1443.12</v>
      </c>
      <c r="N319" s="144">
        <v>1003.45</v>
      </c>
      <c r="O319" s="136">
        <v>1043.5899999999999</v>
      </c>
      <c r="P319" s="137">
        <v>1085.3399999999999</v>
      </c>
      <c r="Q319" s="136">
        <v>1128.74</v>
      </c>
      <c r="R319" s="137">
        <v>1253.8399999999999</v>
      </c>
      <c r="S319" s="81">
        <v>1443.12</v>
      </c>
      <c r="T319" s="149">
        <v>1305.1099999999999</v>
      </c>
      <c r="U319" s="34">
        <v>1443.12</v>
      </c>
      <c r="V319" s="35">
        <v>1510.83</v>
      </c>
      <c r="W319" s="34">
        <v>1586.37</v>
      </c>
      <c r="X319" s="35">
        <v>1665.7</v>
      </c>
      <c r="Y319" s="34">
        <v>1748.99</v>
      </c>
      <c r="Z319" s="36">
        <v>1836.43</v>
      </c>
    </row>
    <row r="320" spans="1:26" x14ac:dyDescent="0.2">
      <c r="A320" s="96">
        <v>44378</v>
      </c>
      <c r="B320" s="144">
        <v>959.1</v>
      </c>
      <c r="C320" s="136">
        <v>987.88</v>
      </c>
      <c r="D320" s="137">
        <v>1017.52</v>
      </c>
      <c r="E320" s="136">
        <v>1048.03</v>
      </c>
      <c r="F320" s="137">
        <v>1079.48</v>
      </c>
      <c r="G320" s="81">
        <v>1443.12</v>
      </c>
      <c r="H320" s="144">
        <v>959.1</v>
      </c>
      <c r="I320" s="136">
        <v>987.88</v>
      </c>
      <c r="J320" s="137">
        <v>1017.52</v>
      </c>
      <c r="K320" s="136">
        <v>1048.03</v>
      </c>
      <c r="L320" s="137">
        <v>1079.48</v>
      </c>
      <c r="M320" s="81">
        <v>1443.12</v>
      </c>
      <c r="N320" s="144">
        <v>1003.45</v>
      </c>
      <c r="O320" s="136">
        <v>1043.5899999999999</v>
      </c>
      <c r="P320" s="137">
        <v>1085.3399999999999</v>
      </c>
      <c r="Q320" s="136">
        <v>1128.74</v>
      </c>
      <c r="R320" s="137">
        <v>1253.8399999999999</v>
      </c>
      <c r="S320" s="81">
        <v>1443.12</v>
      </c>
      <c r="T320" s="149">
        <v>1305.1099999999999</v>
      </c>
      <c r="U320" s="34">
        <v>1443.12</v>
      </c>
      <c r="V320" s="35">
        <v>1510.83</v>
      </c>
      <c r="W320" s="34">
        <v>1586.37</v>
      </c>
      <c r="X320" s="35">
        <v>1665.7</v>
      </c>
      <c r="Y320" s="34">
        <v>1748.99</v>
      </c>
      <c r="Z320" s="36">
        <v>1836.43</v>
      </c>
    </row>
    <row r="321" spans="1:26" x14ac:dyDescent="0.2">
      <c r="A321" s="96">
        <v>44409</v>
      </c>
      <c r="B321" s="144">
        <v>959.1</v>
      </c>
      <c r="C321" s="136">
        <v>987.88</v>
      </c>
      <c r="D321" s="137">
        <v>1017.52</v>
      </c>
      <c r="E321" s="136">
        <v>1048.03</v>
      </c>
      <c r="F321" s="137">
        <v>1079.48</v>
      </c>
      <c r="G321" s="81">
        <v>1443.12</v>
      </c>
      <c r="H321" s="144">
        <v>959.1</v>
      </c>
      <c r="I321" s="136">
        <v>987.88</v>
      </c>
      <c r="J321" s="137">
        <v>1017.52</v>
      </c>
      <c r="K321" s="136">
        <v>1048.03</v>
      </c>
      <c r="L321" s="137">
        <v>1079.48</v>
      </c>
      <c r="M321" s="81">
        <v>1443.12</v>
      </c>
      <c r="N321" s="144">
        <v>1003.45</v>
      </c>
      <c r="O321" s="136">
        <v>1043.5899999999999</v>
      </c>
      <c r="P321" s="137">
        <v>1085.3399999999999</v>
      </c>
      <c r="Q321" s="136">
        <v>1128.74</v>
      </c>
      <c r="R321" s="137">
        <v>1253.8399999999999</v>
      </c>
      <c r="S321" s="81">
        <v>1443.12</v>
      </c>
      <c r="T321" s="149">
        <v>1305.1099999999999</v>
      </c>
      <c r="U321" s="34">
        <v>1443.12</v>
      </c>
      <c r="V321" s="35">
        <v>1510.83</v>
      </c>
      <c r="W321" s="34">
        <v>1586.37</v>
      </c>
      <c r="X321" s="35">
        <v>1665.7</v>
      </c>
      <c r="Y321" s="34">
        <v>1748.99</v>
      </c>
      <c r="Z321" s="36">
        <v>1836.43</v>
      </c>
    </row>
    <row r="322" spans="1:26" x14ac:dyDescent="0.2">
      <c r="A322" s="96">
        <v>44440</v>
      </c>
      <c r="B322" s="144">
        <v>959.1</v>
      </c>
      <c r="C322" s="136">
        <v>987.88</v>
      </c>
      <c r="D322" s="137">
        <v>1017.52</v>
      </c>
      <c r="E322" s="136">
        <v>1048.03</v>
      </c>
      <c r="F322" s="137">
        <v>1079.48</v>
      </c>
      <c r="G322" s="81">
        <v>1443.12</v>
      </c>
      <c r="H322" s="144">
        <v>959.1</v>
      </c>
      <c r="I322" s="136">
        <v>987.88</v>
      </c>
      <c r="J322" s="137">
        <v>1017.52</v>
      </c>
      <c r="K322" s="136">
        <v>1048.03</v>
      </c>
      <c r="L322" s="137">
        <v>1079.48</v>
      </c>
      <c r="M322" s="81">
        <v>1443.12</v>
      </c>
      <c r="N322" s="144">
        <v>1003.45</v>
      </c>
      <c r="O322" s="136">
        <v>1043.5899999999999</v>
      </c>
      <c r="P322" s="137">
        <v>1085.3399999999999</v>
      </c>
      <c r="Q322" s="136">
        <v>1128.74</v>
      </c>
      <c r="R322" s="137">
        <v>1253.8399999999999</v>
      </c>
      <c r="S322" s="81">
        <v>1443.12</v>
      </c>
      <c r="T322" s="149">
        <v>1305.1099999999999</v>
      </c>
      <c r="U322" s="34">
        <v>1443.12</v>
      </c>
      <c r="V322" s="35">
        <v>1510.83</v>
      </c>
      <c r="W322" s="34">
        <v>1586.37</v>
      </c>
      <c r="X322" s="35">
        <v>1665.7</v>
      </c>
      <c r="Y322" s="34">
        <v>1748.99</v>
      </c>
      <c r="Z322" s="36">
        <v>1836.43</v>
      </c>
    </row>
    <row r="323" spans="1:26" x14ac:dyDescent="0.2">
      <c r="A323" s="96">
        <v>44470</v>
      </c>
      <c r="B323" s="144">
        <v>959.1</v>
      </c>
      <c r="C323" s="136">
        <v>987.88</v>
      </c>
      <c r="D323" s="137">
        <v>1017.52</v>
      </c>
      <c r="E323" s="136">
        <v>1048.03</v>
      </c>
      <c r="F323" s="137">
        <v>1079.48</v>
      </c>
      <c r="G323" s="81">
        <v>1443.12</v>
      </c>
      <c r="H323" s="144">
        <v>959.1</v>
      </c>
      <c r="I323" s="136">
        <v>987.88</v>
      </c>
      <c r="J323" s="137">
        <v>1017.52</v>
      </c>
      <c r="K323" s="136">
        <v>1048.03</v>
      </c>
      <c r="L323" s="137">
        <v>1079.48</v>
      </c>
      <c r="M323" s="81">
        <v>1443.12</v>
      </c>
      <c r="N323" s="144">
        <v>1003.45</v>
      </c>
      <c r="O323" s="136">
        <v>1043.5899999999999</v>
      </c>
      <c r="P323" s="137">
        <v>1085.3399999999999</v>
      </c>
      <c r="Q323" s="136">
        <v>1128.74</v>
      </c>
      <c r="R323" s="137">
        <v>1253.8399999999999</v>
      </c>
      <c r="S323" s="81">
        <v>1443.12</v>
      </c>
      <c r="T323" s="149">
        <v>1305.1099999999999</v>
      </c>
      <c r="U323" s="34">
        <v>1443.12</v>
      </c>
      <c r="V323" s="35">
        <v>1510.83</v>
      </c>
      <c r="W323" s="34">
        <v>1586.37</v>
      </c>
      <c r="X323" s="35">
        <v>1665.7</v>
      </c>
      <c r="Y323" s="34">
        <v>1748.99</v>
      </c>
      <c r="Z323" s="36">
        <v>1836.43</v>
      </c>
    </row>
    <row r="324" spans="1:26" x14ac:dyDescent="0.2">
      <c r="A324" s="96">
        <v>44501</v>
      </c>
      <c r="B324" s="144">
        <v>959.1</v>
      </c>
      <c r="C324" s="136">
        <v>987.88</v>
      </c>
      <c r="D324" s="137">
        <v>1017.52</v>
      </c>
      <c r="E324" s="136">
        <v>1048.03</v>
      </c>
      <c r="F324" s="137">
        <v>1079.48</v>
      </c>
      <c r="G324" s="81">
        <v>1443.12</v>
      </c>
      <c r="H324" s="144">
        <v>959.1</v>
      </c>
      <c r="I324" s="136">
        <v>987.88</v>
      </c>
      <c r="J324" s="137">
        <v>1017.52</v>
      </c>
      <c r="K324" s="136">
        <v>1048.03</v>
      </c>
      <c r="L324" s="137">
        <v>1079.48</v>
      </c>
      <c r="M324" s="81">
        <v>1443.12</v>
      </c>
      <c r="N324" s="144">
        <v>1003.45</v>
      </c>
      <c r="O324" s="136">
        <v>1043.5899999999999</v>
      </c>
      <c r="P324" s="137">
        <v>1085.3399999999999</v>
      </c>
      <c r="Q324" s="136">
        <v>1128.74</v>
      </c>
      <c r="R324" s="137">
        <v>1253.8399999999999</v>
      </c>
      <c r="S324" s="81">
        <v>1443.12</v>
      </c>
      <c r="T324" s="149">
        <v>1305.1099999999999</v>
      </c>
      <c r="U324" s="34">
        <v>1443.12</v>
      </c>
      <c r="V324" s="35">
        <v>1510.83</v>
      </c>
      <c r="W324" s="34">
        <v>1586.37</v>
      </c>
      <c r="X324" s="35">
        <v>1665.7</v>
      </c>
      <c r="Y324" s="34">
        <v>1748.99</v>
      </c>
      <c r="Z324" s="36">
        <v>1836.43</v>
      </c>
    </row>
    <row r="325" spans="1:26" ht="13.5" thickBot="1" x14ac:dyDescent="0.25">
      <c r="A325" s="99">
        <v>44531</v>
      </c>
      <c r="B325" s="145">
        <v>959.1</v>
      </c>
      <c r="C325" s="146">
        <v>987.88</v>
      </c>
      <c r="D325" s="147">
        <v>1017.52</v>
      </c>
      <c r="E325" s="146">
        <v>1048.03</v>
      </c>
      <c r="F325" s="147">
        <v>1079.48</v>
      </c>
      <c r="G325" s="89">
        <v>1443.12</v>
      </c>
      <c r="H325" s="145">
        <v>959.1</v>
      </c>
      <c r="I325" s="146">
        <v>987.88</v>
      </c>
      <c r="J325" s="147">
        <v>1017.52</v>
      </c>
      <c r="K325" s="146">
        <v>1048.03</v>
      </c>
      <c r="L325" s="147">
        <v>1079.48</v>
      </c>
      <c r="M325" s="89">
        <v>1443.12</v>
      </c>
      <c r="N325" s="145">
        <v>1003.45</v>
      </c>
      <c r="O325" s="146">
        <v>1043.5899999999999</v>
      </c>
      <c r="P325" s="147">
        <v>1085.3399999999999</v>
      </c>
      <c r="Q325" s="146">
        <v>1128.74</v>
      </c>
      <c r="R325" s="147">
        <v>1253.8399999999999</v>
      </c>
      <c r="S325" s="89">
        <v>1443.12</v>
      </c>
      <c r="T325" s="152">
        <v>1305.1099999999999</v>
      </c>
      <c r="U325" s="43">
        <v>1443.12</v>
      </c>
      <c r="V325" s="42">
        <v>1510.83</v>
      </c>
      <c r="W325" s="43">
        <v>1586.37</v>
      </c>
      <c r="X325" s="42">
        <v>1665.7</v>
      </c>
      <c r="Y325" s="43">
        <v>1748.99</v>
      </c>
      <c r="Z325" s="44">
        <v>1836.43</v>
      </c>
    </row>
    <row r="326" spans="1:26" x14ac:dyDescent="0.2">
      <c r="A326" s="94">
        <v>44562</v>
      </c>
      <c r="B326" s="141">
        <v>959.1</v>
      </c>
      <c r="C326" s="142">
        <v>987.88</v>
      </c>
      <c r="D326" s="143">
        <v>1017.52</v>
      </c>
      <c r="E326" s="142">
        <v>1048.03</v>
      </c>
      <c r="F326" s="143">
        <v>1079.48</v>
      </c>
      <c r="G326" s="103">
        <v>1443.12</v>
      </c>
      <c r="H326" s="141">
        <v>959.1</v>
      </c>
      <c r="I326" s="142">
        <v>987.88</v>
      </c>
      <c r="J326" s="143">
        <v>1017.52</v>
      </c>
      <c r="K326" s="142">
        <v>1048.03</v>
      </c>
      <c r="L326" s="143">
        <v>1079.48</v>
      </c>
      <c r="M326" s="103">
        <v>1443.12</v>
      </c>
      <c r="N326" s="141">
        <v>1003.45</v>
      </c>
      <c r="O326" s="142">
        <v>1043.5899999999999</v>
      </c>
      <c r="P326" s="143">
        <v>1085.3399999999999</v>
      </c>
      <c r="Q326" s="142">
        <v>1128.74</v>
      </c>
      <c r="R326" s="143">
        <v>1253.8399999999999</v>
      </c>
      <c r="S326" s="103">
        <v>1443.12</v>
      </c>
      <c r="T326" s="151">
        <v>1305.1099999999999</v>
      </c>
      <c r="U326" s="105">
        <v>1443.12</v>
      </c>
      <c r="V326" s="106">
        <v>1510.83</v>
      </c>
      <c r="W326" s="105">
        <v>1586.37</v>
      </c>
      <c r="X326" s="106">
        <v>1665.7</v>
      </c>
      <c r="Y326" s="105">
        <v>1748.99</v>
      </c>
      <c r="Z326" s="107">
        <v>1836.43</v>
      </c>
    </row>
    <row r="327" spans="1:26" x14ac:dyDescent="0.2">
      <c r="A327" s="96">
        <v>44593</v>
      </c>
      <c r="B327" s="144">
        <v>959.1</v>
      </c>
      <c r="C327" s="136">
        <v>987.88</v>
      </c>
      <c r="D327" s="137">
        <v>1017.52</v>
      </c>
      <c r="E327" s="136">
        <v>1048.03</v>
      </c>
      <c r="F327" s="137">
        <v>1079.48</v>
      </c>
      <c r="G327" s="81">
        <v>1443.12</v>
      </c>
      <c r="H327" s="144">
        <v>959.1</v>
      </c>
      <c r="I327" s="136">
        <v>987.88</v>
      </c>
      <c r="J327" s="137">
        <v>1017.52</v>
      </c>
      <c r="K327" s="136">
        <v>1048.03</v>
      </c>
      <c r="L327" s="137">
        <v>1079.48</v>
      </c>
      <c r="M327" s="81">
        <v>1443.12</v>
      </c>
      <c r="N327" s="144">
        <v>1003.45</v>
      </c>
      <c r="O327" s="136">
        <v>1043.5899999999999</v>
      </c>
      <c r="P327" s="137">
        <v>1085.3399999999999</v>
      </c>
      <c r="Q327" s="136">
        <v>1128.74</v>
      </c>
      <c r="R327" s="137">
        <v>1253.8399999999999</v>
      </c>
      <c r="S327" s="81">
        <v>1443.12</v>
      </c>
      <c r="T327" s="149">
        <v>1305.1099999999999</v>
      </c>
      <c r="U327" s="34">
        <v>1443.12</v>
      </c>
      <c r="V327" s="35">
        <v>1510.83</v>
      </c>
      <c r="W327" s="34">
        <v>1586.37</v>
      </c>
      <c r="X327" s="35">
        <v>1665.7</v>
      </c>
      <c r="Y327" s="34">
        <v>1748.99</v>
      </c>
      <c r="Z327" s="36">
        <v>1836.43</v>
      </c>
    </row>
    <row r="328" spans="1:26" x14ac:dyDescent="0.2">
      <c r="A328" s="96">
        <v>44621</v>
      </c>
      <c r="B328" s="144">
        <v>959.1</v>
      </c>
      <c r="C328" s="136">
        <v>987.88</v>
      </c>
      <c r="D328" s="137">
        <v>1017.52</v>
      </c>
      <c r="E328" s="136">
        <v>1048.03</v>
      </c>
      <c r="F328" s="137">
        <v>1079.48</v>
      </c>
      <c r="G328" s="81">
        <v>1443.12</v>
      </c>
      <c r="H328" s="144">
        <v>959.1</v>
      </c>
      <c r="I328" s="136">
        <v>987.88</v>
      </c>
      <c r="J328" s="137">
        <v>1017.52</v>
      </c>
      <c r="K328" s="136">
        <v>1048.03</v>
      </c>
      <c r="L328" s="137">
        <v>1079.48</v>
      </c>
      <c r="M328" s="81">
        <v>1443.12</v>
      </c>
      <c r="N328" s="144">
        <v>1003.45</v>
      </c>
      <c r="O328" s="136">
        <v>1043.5899999999999</v>
      </c>
      <c r="P328" s="137">
        <v>1085.3399999999999</v>
      </c>
      <c r="Q328" s="136">
        <v>1128.74</v>
      </c>
      <c r="R328" s="137">
        <v>1253.8399999999999</v>
      </c>
      <c r="S328" s="81">
        <v>1443.12</v>
      </c>
      <c r="T328" s="149">
        <v>1305.1099999999999</v>
      </c>
      <c r="U328" s="34">
        <v>1443.12</v>
      </c>
      <c r="V328" s="35">
        <v>1510.83</v>
      </c>
      <c r="W328" s="34">
        <v>1586.37</v>
      </c>
      <c r="X328" s="35">
        <v>1665.7</v>
      </c>
      <c r="Y328" s="34">
        <v>1748.99</v>
      </c>
      <c r="Z328" s="36">
        <v>1836.43</v>
      </c>
    </row>
    <row r="329" spans="1:26" x14ac:dyDescent="0.2">
      <c r="A329" s="96">
        <v>44652</v>
      </c>
      <c r="B329" s="144">
        <v>959.1</v>
      </c>
      <c r="C329" s="136">
        <v>987.88</v>
      </c>
      <c r="D329" s="137">
        <v>1017.52</v>
      </c>
      <c r="E329" s="136">
        <v>1048.03</v>
      </c>
      <c r="F329" s="137">
        <v>1079.48</v>
      </c>
      <c r="G329" s="81">
        <v>1443.12</v>
      </c>
      <c r="H329" s="144">
        <v>959.1</v>
      </c>
      <c r="I329" s="136">
        <v>987.88</v>
      </c>
      <c r="J329" s="137">
        <v>1017.52</v>
      </c>
      <c r="K329" s="136">
        <v>1048.03</v>
      </c>
      <c r="L329" s="137">
        <v>1079.48</v>
      </c>
      <c r="M329" s="81">
        <v>1443.12</v>
      </c>
      <c r="N329" s="144">
        <v>1003.45</v>
      </c>
      <c r="O329" s="136">
        <v>1043.5899999999999</v>
      </c>
      <c r="P329" s="137">
        <v>1085.3399999999999</v>
      </c>
      <c r="Q329" s="136">
        <v>1128.74</v>
      </c>
      <c r="R329" s="137">
        <v>1253.8399999999999</v>
      </c>
      <c r="S329" s="81">
        <v>1443.12</v>
      </c>
      <c r="T329" s="149">
        <v>1305.1099999999999</v>
      </c>
      <c r="U329" s="34">
        <v>1443.12</v>
      </c>
      <c r="V329" s="35">
        <v>1510.83</v>
      </c>
      <c r="W329" s="34">
        <v>1586.37</v>
      </c>
      <c r="X329" s="35">
        <v>1665.7</v>
      </c>
      <c r="Y329" s="34">
        <v>1748.99</v>
      </c>
      <c r="Z329" s="36">
        <v>1836.43</v>
      </c>
    </row>
    <row r="330" spans="1:26" x14ac:dyDescent="0.2">
      <c r="A330" s="96">
        <v>44682</v>
      </c>
      <c r="B330" s="144">
        <v>959.1</v>
      </c>
      <c r="C330" s="136">
        <v>987.88</v>
      </c>
      <c r="D330" s="137">
        <v>1017.52</v>
      </c>
      <c r="E330" s="136">
        <v>1048.03</v>
      </c>
      <c r="F330" s="137">
        <v>1079.48</v>
      </c>
      <c r="G330" s="81">
        <v>1443.12</v>
      </c>
      <c r="H330" s="144">
        <v>959.1</v>
      </c>
      <c r="I330" s="136">
        <v>987.88</v>
      </c>
      <c r="J330" s="137">
        <v>1017.52</v>
      </c>
      <c r="K330" s="136">
        <v>1048.03</v>
      </c>
      <c r="L330" s="137">
        <v>1079.48</v>
      </c>
      <c r="M330" s="81">
        <v>1443.12</v>
      </c>
      <c r="N330" s="144">
        <v>1003.45</v>
      </c>
      <c r="O330" s="136">
        <v>1043.5899999999999</v>
      </c>
      <c r="P330" s="137">
        <v>1085.3399999999999</v>
      </c>
      <c r="Q330" s="136">
        <v>1128.74</v>
      </c>
      <c r="R330" s="137">
        <v>1253.8399999999999</v>
      </c>
      <c r="S330" s="81">
        <v>1443.12</v>
      </c>
      <c r="T330" s="149">
        <v>1305.1099999999999</v>
      </c>
      <c r="U330" s="34">
        <v>1443.12</v>
      </c>
      <c r="V330" s="35">
        <v>1510.83</v>
      </c>
      <c r="W330" s="34">
        <v>1586.37</v>
      </c>
      <c r="X330" s="35">
        <v>1665.7</v>
      </c>
      <c r="Y330" s="34">
        <v>1748.99</v>
      </c>
      <c r="Z330" s="36">
        <v>1836.43</v>
      </c>
    </row>
    <row r="331" spans="1:26" x14ac:dyDescent="0.2">
      <c r="A331" s="96">
        <v>44713</v>
      </c>
      <c r="B331" s="144">
        <v>959.1</v>
      </c>
      <c r="C331" s="136">
        <v>987.88</v>
      </c>
      <c r="D331" s="137">
        <v>1017.52</v>
      </c>
      <c r="E331" s="136">
        <v>1048.03</v>
      </c>
      <c r="F331" s="137">
        <v>1079.48</v>
      </c>
      <c r="G331" s="81">
        <v>1443.12</v>
      </c>
      <c r="H331" s="144">
        <v>959.1</v>
      </c>
      <c r="I331" s="136">
        <v>987.88</v>
      </c>
      <c r="J331" s="137">
        <v>1017.52</v>
      </c>
      <c r="K331" s="136">
        <v>1048.03</v>
      </c>
      <c r="L331" s="137">
        <v>1079.48</v>
      </c>
      <c r="M331" s="81">
        <v>1443.12</v>
      </c>
      <c r="N331" s="144">
        <v>1003.45</v>
      </c>
      <c r="O331" s="136">
        <v>1043.5899999999999</v>
      </c>
      <c r="P331" s="137">
        <v>1085.3399999999999</v>
      </c>
      <c r="Q331" s="136">
        <v>1128.74</v>
      </c>
      <c r="R331" s="137">
        <v>1253.8399999999999</v>
      </c>
      <c r="S331" s="81">
        <v>1443.12</v>
      </c>
      <c r="T331" s="149">
        <v>1305.1099999999999</v>
      </c>
      <c r="U331" s="34">
        <v>1443.12</v>
      </c>
      <c r="V331" s="35">
        <v>1510.83</v>
      </c>
      <c r="W331" s="34">
        <v>1586.37</v>
      </c>
      <c r="X331" s="35">
        <v>1665.7</v>
      </c>
      <c r="Y331" s="34">
        <v>1748.99</v>
      </c>
      <c r="Z331" s="36">
        <v>1836.43</v>
      </c>
    </row>
    <row r="332" spans="1:26" x14ac:dyDescent="0.2">
      <c r="A332" s="96">
        <v>44743</v>
      </c>
      <c r="B332" s="144">
        <v>959.1</v>
      </c>
      <c r="C332" s="136">
        <v>987.88</v>
      </c>
      <c r="D332" s="137">
        <v>1017.52</v>
      </c>
      <c r="E332" s="136">
        <v>1048.03</v>
      </c>
      <c r="F332" s="137">
        <v>1079.48</v>
      </c>
      <c r="G332" s="81">
        <v>1443.12</v>
      </c>
      <c r="H332" s="144">
        <v>959.1</v>
      </c>
      <c r="I332" s="136">
        <v>987.88</v>
      </c>
      <c r="J332" s="137">
        <v>1017.52</v>
      </c>
      <c r="K332" s="136">
        <v>1048.03</v>
      </c>
      <c r="L332" s="137">
        <v>1079.48</v>
      </c>
      <c r="M332" s="81">
        <v>1443.12</v>
      </c>
      <c r="N332" s="144">
        <v>1003.45</v>
      </c>
      <c r="O332" s="136">
        <v>1043.5899999999999</v>
      </c>
      <c r="P332" s="137">
        <v>1085.3399999999999</v>
      </c>
      <c r="Q332" s="136">
        <v>1128.74</v>
      </c>
      <c r="R332" s="137">
        <v>1253.8399999999999</v>
      </c>
      <c r="S332" s="81">
        <v>1443.12</v>
      </c>
      <c r="T332" s="149">
        <v>1305.1099999999999</v>
      </c>
      <c r="U332" s="34">
        <v>1443.12</v>
      </c>
      <c r="V332" s="35">
        <v>1510.83</v>
      </c>
      <c r="W332" s="34">
        <v>1586.37</v>
      </c>
      <c r="X332" s="35">
        <v>1665.7</v>
      </c>
      <c r="Y332" s="34">
        <v>1748.99</v>
      </c>
      <c r="Z332" s="36">
        <v>1836.43</v>
      </c>
    </row>
    <row r="333" spans="1:26" x14ac:dyDescent="0.2">
      <c r="A333" s="96">
        <v>44774</v>
      </c>
      <c r="B333" s="144">
        <v>959.1</v>
      </c>
      <c r="C333" s="136">
        <v>987.88</v>
      </c>
      <c r="D333" s="137">
        <v>1017.52</v>
      </c>
      <c r="E333" s="136">
        <v>1048.03</v>
      </c>
      <c r="F333" s="137">
        <v>1079.48</v>
      </c>
      <c r="G333" s="81">
        <v>1443.12</v>
      </c>
      <c r="H333" s="144">
        <v>959.1</v>
      </c>
      <c r="I333" s="136">
        <v>987.88</v>
      </c>
      <c r="J333" s="137">
        <v>1017.52</v>
      </c>
      <c r="K333" s="136">
        <v>1048.03</v>
      </c>
      <c r="L333" s="137">
        <v>1079.48</v>
      </c>
      <c r="M333" s="81">
        <v>1443.12</v>
      </c>
      <c r="N333" s="144">
        <v>1003.45</v>
      </c>
      <c r="O333" s="136">
        <v>1043.5899999999999</v>
      </c>
      <c r="P333" s="137">
        <v>1085.3399999999999</v>
      </c>
      <c r="Q333" s="136">
        <v>1128.74</v>
      </c>
      <c r="R333" s="137">
        <v>1253.8399999999999</v>
      </c>
      <c r="S333" s="81">
        <v>1443.12</v>
      </c>
      <c r="T333" s="149">
        <v>1305.1099999999999</v>
      </c>
      <c r="U333" s="34">
        <v>1443.12</v>
      </c>
      <c r="V333" s="35">
        <v>1510.83</v>
      </c>
      <c r="W333" s="34">
        <v>1586.37</v>
      </c>
      <c r="X333" s="35">
        <v>1665.7</v>
      </c>
      <c r="Y333" s="34">
        <v>1748.99</v>
      </c>
      <c r="Z333" s="36">
        <v>1836.43</v>
      </c>
    </row>
    <row r="334" spans="1:26" x14ac:dyDescent="0.2">
      <c r="A334" s="96">
        <v>44805</v>
      </c>
      <c r="B334" s="144">
        <v>959.1</v>
      </c>
      <c r="C334" s="136">
        <v>987.88</v>
      </c>
      <c r="D334" s="137">
        <v>1017.52</v>
      </c>
      <c r="E334" s="136">
        <v>1048.03</v>
      </c>
      <c r="F334" s="137">
        <v>1079.48</v>
      </c>
      <c r="G334" s="81">
        <v>1443.12</v>
      </c>
      <c r="H334" s="144">
        <v>959.1</v>
      </c>
      <c r="I334" s="136">
        <v>987.88</v>
      </c>
      <c r="J334" s="137">
        <v>1017.52</v>
      </c>
      <c r="K334" s="136">
        <v>1048.03</v>
      </c>
      <c r="L334" s="137">
        <v>1079.48</v>
      </c>
      <c r="M334" s="81">
        <v>1443.12</v>
      </c>
      <c r="N334" s="144">
        <v>1003.45</v>
      </c>
      <c r="O334" s="136">
        <v>1043.5899999999999</v>
      </c>
      <c r="P334" s="137">
        <v>1085.3399999999999</v>
      </c>
      <c r="Q334" s="136">
        <v>1128.74</v>
      </c>
      <c r="R334" s="137">
        <v>1253.8399999999999</v>
      </c>
      <c r="S334" s="81">
        <v>1443.12</v>
      </c>
      <c r="T334" s="149">
        <v>1305.1099999999999</v>
      </c>
      <c r="U334" s="34">
        <v>1443.12</v>
      </c>
      <c r="V334" s="35">
        <v>1510.83</v>
      </c>
      <c r="W334" s="34">
        <v>1586.37</v>
      </c>
      <c r="X334" s="35">
        <v>1665.7</v>
      </c>
      <c r="Y334" s="34">
        <v>1748.99</v>
      </c>
      <c r="Z334" s="36">
        <v>1836.43</v>
      </c>
    </row>
    <row r="335" spans="1:26" x14ac:dyDescent="0.2">
      <c r="A335" s="96">
        <v>44835</v>
      </c>
      <c r="B335" s="144">
        <v>959.1</v>
      </c>
      <c r="C335" s="136">
        <v>987.88</v>
      </c>
      <c r="D335" s="137">
        <v>1017.52</v>
      </c>
      <c r="E335" s="136">
        <v>1048.03</v>
      </c>
      <c r="F335" s="137">
        <v>1079.48</v>
      </c>
      <c r="G335" s="81">
        <v>1443.12</v>
      </c>
      <c r="H335" s="144">
        <v>959.1</v>
      </c>
      <c r="I335" s="136">
        <v>987.88</v>
      </c>
      <c r="J335" s="137">
        <v>1017.52</v>
      </c>
      <c r="K335" s="136">
        <v>1048.03</v>
      </c>
      <c r="L335" s="137">
        <v>1079.48</v>
      </c>
      <c r="M335" s="81">
        <v>1443.12</v>
      </c>
      <c r="N335" s="144">
        <v>1003.45</v>
      </c>
      <c r="O335" s="136">
        <v>1043.5899999999999</v>
      </c>
      <c r="P335" s="137">
        <v>1085.3399999999999</v>
      </c>
      <c r="Q335" s="136">
        <v>1128.74</v>
      </c>
      <c r="R335" s="137">
        <v>1253.8399999999999</v>
      </c>
      <c r="S335" s="81">
        <v>1443.12</v>
      </c>
      <c r="T335" s="149">
        <v>1305.1099999999999</v>
      </c>
      <c r="U335" s="34">
        <v>1443.12</v>
      </c>
      <c r="V335" s="35">
        <v>1510.83</v>
      </c>
      <c r="W335" s="34">
        <v>1586.37</v>
      </c>
      <c r="X335" s="35">
        <v>1665.7</v>
      </c>
      <c r="Y335" s="34">
        <v>1748.99</v>
      </c>
      <c r="Z335" s="36">
        <v>1836.43</v>
      </c>
    </row>
    <row r="336" spans="1:26" x14ac:dyDescent="0.2">
      <c r="A336" s="96">
        <v>44866</v>
      </c>
      <c r="B336" s="144">
        <v>959.1</v>
      </c>
      <c r="C336" s="136">
        <v>987.88</v>
      </c>
      <c r="D336" s="137">
        <v>1017.52</v>
      </c>
      <c r="E336" s="136">
        <v>1048.03</v>
      </c>
      <c r="F336" s="137">
        <v>1079.48</v>
      </c>
      <c r="G336" s="81">
        <v>1443.12</v>
      </c>
      <c r="H336" s="144">
        <v>959.1</v>
      </c>
      <c r="I336" s="136">
        <v>987.88</v>
      </c>
      <c r="J336" s="137">
        <v>1017.52</v>
      </c>
      <c r="K336" s="136">
        <v>1048.03</v>
      </c>
      <c r="L336" s="137">
        <v>1079.48</v>
      </c>
      <c r="M336" s="81">
        <v>1443.12</v>
      </c>
      <c r="N336" s="144">
        <v>1003.45</v>
      </c>
      <c r="O336" s="136">
        <v>1043.5899999999999</v>
      </c>
      <c r="P336" s="137">
        <v>1085.3399999999999</v>
      </c>
      <c r="Q336" s="136">
        <v>1128.74</v>
      </c>
      <c r="R336" s="137">
        <v>1253.8399999999999</v>
      </c>
      <c r="S336" s="81">
        <v>1443.12</v>
      </c>
      <c r="T336" s="149">
        <v>1305.1099999999999</v>
      </c>
      <c r="U336" s="34">
        <v>1443.12</v>
      </c>
      <c r="V336" s="35">
        <v>1510.83</v>
      </c>
      <c r="W336" s="34">
        <v>1586.37</v>
      </c>
      <c r="X336" s="35">
        <v>1665.7</v>
      </c>
      <c r="Y336" s="34">
        <v>1748.99</v>
      </c>
      <c r="Z336" s="36">
        <v>1836.43</v>
      </c>
    </row>
    <row r="337" spans="1:26" ht="13.5" thickBot="1" x14ac:dyDescent="0.25">
      <c r="A337" s="97">
        <v>44896</v>
      </c>
      <c r="B337" s="148">
        <v>959.1</v>
      </c>
      <c r="C337" s="139">
        <v>987.88</v>
      </c>
      <c r="D337" s="140">
        <v>1017.52</v>
      </c>
      <c r="E337" s="139">
        <v>1048.03</v>
      </c>
      <c r="F337" s="140">
        <v>1079.48</v>
      </c>
      <c r="G337" s="85">
        <v>1443.12</v>
      </c>
      <c r="H337" s="148">
        <v>959.1</v>
      </c>
      <c r="I337" s="139">
        <v>987.88</v>
      </c>
      <c r="J337" s="140">
        <v>1017.52</v>
      </c>
      <c r="K337" s="139">
        <v>1048.03</v>
      </c>
      <c r="L337" s="140">
        <v>1079.48</v>
      </c>
      <c r="M337" s="85">
        <v>1443.12</v>
      </c>
      <c r="N337" s="148">
        <v>1003.45</v>
      </c>
      <c r="O337" s="139">
        <v>1043.5899999999999</v>
      </c>
      <c r="P337" s="140">
        <v>1085.3399999999999</v>
      </c>
      <c r="Q337" s="139">
        <v>1128.74</v>
      </c>
      <c r="R337" s="140">
        <v>1253.8399999999999</v>
      </c>
      <c r="S337" s="85">
        <v>1443.12</v>
      </c>
      <c r="T337" s="150">
        <v>1305.1099999999999</v>
      </c>
      <c r="U337" s="39">
        <v>1443.12</v>
      </c>
      <c r="V337" s="40">
        <v>1510.83</v>
      </c>
      <c r="W337" s="39">
        <v>1586.37</v>
      </c>
      <c r="X337" s="40">
        <v>1665.7</v>
      </c>
      <c r="Y337" s="39">
        <v>1748.99</v>
      </c>
      <c r="Z337" s="41">
        <v>1836.43</v>
      </c>
    </row>
    <row r="338" spans="1:26" x14ac:dyDescent="0.2">
      <c r="A338" s="94">
        <v>44927</v>
      </c>
      <c r="B338" s="154">
        <v>959.1</v>
      </c>
      <c r="C338" s="142">
        <v>987.88</v>
      </c>
      <c r="D338" s="143">
        <v>1017.52</v>
      </c>
      <c r="E338" s="142">
        <v>1048.03</v>
      </c>
      <c r="F338" s="143">
        <v>1079.48</v>
      </c>
      <c r="G338" s="103">
        <v>1443.12</v>
      </c>
      <c r="H338" s="141">
        <v>959.1</v>
      </c>
      <c r="I338" s="142">
        <v>987.88</v>
      </c>
      <c r="J338" s="143">
        <v>1017.52</v>
      </c>
      <c r="K338" s="142">
        <v>1048.03</v>
      </c>
      <c r="L338" s="143">
        <v>1079.48</v>
      </c>
      <c r="M338" s="103">
        <v>1443.12</v>
      </c>
      <c r="N338" s="141">
        <v>1003.45</v>
      </c>
      <c r="O338" s="142">
        <v>1043.5899999999999</v>
      </c>
      <c r="P338" s="143">
        <v>1085.3399999999999</v>
      </c>
      <c r="Q338" s="142">
        <v>1128.74</v>
      </c>
      <c r="R338" s="143">
        <v>1253.8399999999999</v>
      </c>
      <c r="S338" s="103">
        <v>1443.12</v>
      </c>
      <c r="T338" s="151">
        <v>1305.1099999999999</v>
      </c>
      <c r="U338" s="105">
        <v>1443.12</v>
      </c>
      <c r="V338" s="106">
        <v>1510.83</v>
      </c>
      <c r="W338" s="105">
        <v>1586.37</v>
      </c>
      <c r="X338" s="106">
        <v>1665.7</v>
      </c>
      <c r="Y338" s="105">
        <v>1748.99</v>
      </c>
      <c r="Z338" s="107">
        <v>1836.43</v>
      </c>
    </row>
    <row r="339" spans="1:26" x14ac:dyDescent="0.2">
      <c r="A339" s="96">
        <v>44958</v>
      </c>
      <c r="B339" s="135">
        <v>959.1</v>
      </c>
      <c r="C339" s="136">
        <v>987.88</v>
      </c>
      <c r="D339" s="137">
        <v>1017.52</v>
      </c>
      <c r="E339" s="136">
        <v>1048.03</v>
      </c>
      <c r="F339" s="137">
        <v>1079.48</v>
      </c>
      <c r="G339" s="81">
        <v>1443.12</v>
      </c>
      <c r="H339" s="144">
        <v>959.1</v>
      </c>
      <c r="I339" s="136">
        <v>987.88</v>
      </c>
      <c r="J339" s="137">
        <v>1017.52</v>
      </c>
      <c r="K339" s="136">
        <v>1048.03</v>
      </c>
      <c r="L339" s="137">
        <v>1079.48</v>
      </c>
      <c r="M339" s="81">
        <v>1443.12</v>
      </c>
      <c r="N339" s="144">
        <v>1003.45</v>
      </c>
      <c r="O339" s="136">
        <v>1043.5899999999999</v>
      </c>
      <c r="P339" s="137">
        <v>1085.3399999999999</v>
      </c>
      <c r="Q339" s="136">
        <v>1128.74</v>
      </c>
      <c r="R339" s="137">
        <v>1253.8399999999999</v>
      </c>
      <c r="S339" s="81">
        <v>1443.12</v>
      </c>
      <c r="T339" s="149">
        <v>1305.1099999999999</v>
      </c>
      <c r="U339" s="34">
        <v>1443.12</v>
      </c>
      <c r="V339" s="35">
        <v>1510.83</v>
      </c>
      <c r="W339" s="34">
        <v>1586.37</v>
      </c>
      <c r="X339" s="35">
        <v>1665.7</v>
      </c>
      <c r="Y339" s="34">
        <v>1748.99</v>
      </c>
      <c r="Z339" s="36">
        <v>1836.43</v>
      </c>
    </row>
    <row r="340" spans="1:26" x14ac:dyDescent="0.2">
      <c r="A340" s="96">
        <v>44986</v>
      </c>
      <c r="B340" s="135">
        <v>959.1</v>
      </c>
      <c r="C340" s="136">
        <v>987.88</v>
      </c>
      <c r="D340" s="137">
        <v>1017.52</v>
      </c>
      <c r="E340" s="136">
        <v>1048.03</v>
      </c>
      <c r="F340" s="137">
        <v>1079.48</v>
      </c>
      <c r="G340" s="81">
        <v>1443.12</v>
      </c>
      <c r="H340" s="144">
        <v>959.1</v>
      </c>
      <c r="I340" s="136">
        <v>987.88</v>
      </c>
      <c r="J340" s="137">
        <v>1017.52</v>
      </c>
      <c r="K340" s="136">
        <v>1048.03</v>
      </c>
      <c r="L340" s="137">
        <v>1079.48</v>
      </c>
      <c r="M340" s="81">
        <v>1443.12</v>
      </c>
      <c r="N340" s="144">
        <v>1003.45</v>
      </c>
      <c r="O340" s="136">
        <v>1043.5899999999999</v>
      </c>
      <c r="P340" s="137">
        <v>1085.3399999999999</v>
      </c>
      <c r="Q340" s="136">
        <v>1128.74</v>
      </c>
      <c r="R340" s="137">
        <v>1253.8399999999999</v>
      </c>
      <c r="S340" s="81">
        <v>1443.12</v>
      </c>
      <c r="T340" s="149">
        <v>1305.1099999999999</v>
      </c>
      <c r="U340" s="34">
        <v>1443.12</v>
      </c>
      <c r="V340" s="35">
        <v>1510.83</v>
      </c>
      <c r="W340" s="34">
        <v>1586.37</v>
      </c>
      <c r="X340" s="35">
        <v>1665.7</v>
      </c>
      <c r="Y340" s="34">
        <v>1748.99</v>
      </c>
      <c r="Z340" s="36">
        <v>1836.43</v>
      </c>
    </row>
    <row r="341" spans="1:26" x14ac:dyDescent="0.2">
      <c r="A341" s="96">
        <v>45017</v>
      </c>
      <c r="B341" s="135">
        <v>959.1</v>
      </c>
      <c r="C341" s="136">
        <v>987.88</v>
      </c>
      <c r="D341" s="137">
        <v>1017.52</v>
      </c>
      <c r="E341" s="136">
        <v>1048.03</v>
      </c>
      <c r="F341" s="137">
        <v>1079.48</v>
      </c>
      <c r="G341" s="81">
        <v>1443.12</v>
      </c>
      <c r="H341" s="144">
        <v>959.1</v>
      </c>
      <c r="I341" s="136">
        <v>987.88</v>
      </c>
      <c r="J341" s="137">
        <v>1017.52</v>
      </c>
      <c r="K341" s="136">
        <v>1048.03</v>
      </c>
      <c r="L341" s="137">
        <v>1079.48</v>
      </c>
      <c r="M341" s="81">
        <v>1443.12</v>
      </c>
      <c r="N341" s="144">
        <v>1003.45</v>
      </c>
      <c r="O341" s="136">
        <v>1043.5899999999999</v>
      </c>
      <c r="P341" s="137">
        <v>1085.3399999999999</v>
      </c>
      <c r="Q341" s="136">
        <v>1128.74</v>
      </c>
      <c r="R341" s="137">
        <v>1253.8399999999999</v>
      </c>
      <c r="S341" s="81">
        <v>1443.12</v>
      </c>
      <c r="T341" s="149">
        <v>1305.1099999999999</v>
      </c>
      <c r="U341" s="34">
        <v>1443.12</v>
      </c>
      <c r="V341" s="35">
        <v>1510.83</v>
      </c>
      <c r="W341" s="34">
        <v>1586.37</v>
      </c>
      <c r="X341" s="35">
        <v>1665.7</v>
      </c>
      <c r="Y341" s="34">
        <v>1748.99</v>
      </c>
      <c r="Z341" s="36">
        <v>1836.43</v>
      </c>
    </row>
    <row r="342" spans="1:26" x14ac:dyDescent="0.2">
      <c r="A342" s="96">
        <v>45047</v>
      </c>
      <c r="B342" s="135">
        <v>959.1</v>
      </c>
      <c r="C342" s="136">
        <v>987.88</v>
      </c>
      <c r="D342" s="137">
        <v>1017.52</v>
      </c>
      <c r="E342" s="136">
        <v>1048.03</v>
      </c>
      <c r="F342" s="137">
        <v>1079.48</v>
      </c>
      <c r="G342" s="81">
        <v>1443.12</v>
      </c>
      <c r="H342" s="144">
        <v>959.1</v>
      </c>
      <c r="I342" s="136">
        <v>987.88</v>
      </c>
      <c r="J342" s="137">
        <v>1017.52</v>
      </c>
      <c r="K342" s="136">
        <v>1048.03</v>
      </c>
      <c r="L342" s="137">
        <v>1079.48</v>
      </c>
      <c r="M342" s="81">
        <v>1443.12</v>
      </c>
      <c r="N342" s="144">
        <v>1003.45</v>
      </c>
      <c r="O342" s="136">
        <v>1043.5899999999999</v>
      </c>
      <c r="P342" s="137">
        <v>1085.3399999999999</v>
      </c>
      <c r="Q342" s="136">
        <v>1128.74</v>
      </c>
      <c r="R342" s="137">
        <v>1253.8399999999999</v>
      </c>
      <c r="S342" s="81">
        <v>1443.12</v>
      </c>
      <c r="T342" s="149">
        <v>1305.1099999999999</v>
      </c>
      <c r="U342" s="34">
        <v>1443.12</v>
      </c>
      <c r="V342" s="35">
        <v>1510.83</v>
      </c>
      <c r="W342" s="34">
        <v>1586.37</v>
      </c>
      <c r="X342" s="35">
        <v>1665.7</v>
      </c>
      <c r="Y342" s="34">
        <v>1748.99</v>
      </c>
      <c r="Z342" s="36">
        <v>1836.43</v>
      </c>
    </row>
    <row r="343" spans="1:26" x14ac:dyDescent="0.2">
      <c r="A343" s="96">
        <v>45078</v>
      </c>
      <c r="B343" s="135">
        <v>959.1</v>
      </c>
      <c r="C343" s="136">
        <v>987.88</v>
      </c>
      <c r="D343" s="137">
        <v>1017.52</v>
      </c>
      <c r="E343" s="136">
        <v>1048.03</v>
      </c>
      <c r="F343" s="137">
        <v>1079.48</v>
      </c>
      <c r="G343" s="81">
        <v>1443.12</v>
      </c>
      <c r="H343" s="144">
        <v>959.1</v>
      </c>
      <c r="I343" s="136">
        <v>987.88</v>
      </c>
      <c r="J343" s="137">
        <v>1017.52</v>
      </c>
      <c r="K343" s="136">
        <v>1048.03</v>
      </c>
      <c r="L343" s="137">
        <v>1079.48</v>
      </c>
      <c r="M343" s="81">
        <v>1443.12</v>
      </c>
      <c r="N343" s="144">
        <v>1003.45</v>
      </c>
      <c r="O343" s="136">
        <v>1043.5899999999999</v>
      </c>
      <c r="P343" s="137">
        <v>1085.3399999999999</v>
      </c>
      <c r="Q343" s="136">
        <v>1128.74</v>
      </c>
      <c r="R343" s="137">
        <v>1253.8399999999999</v>
      </c>
      <c r="S343" s="81">
        <v>1443.12</v>
      </c>
      <c r="T343" s="149">
        <v>1305.1099999999999</v>
      </c>
      <c r="U343" s="34">
        <v>1443.12</v>
      </c>
      <c r="V343" s="35">
        <v>1510.83</v>
      </c>
      <c r="W343" s="34">
        <v>1586.37</v>
      </c>
      <c r="X343" s="35">
        <v>1665.7</v>
      </c>
      <c r="Y343" s="34">
        <v>1748.99</v>
      </c>
      <c r="Z343" s="36">
        <v>1836.43</v>
      </c>
    </row>
    <row r="344" spans="1:26" x14ac:dyDescent="0.2">
      <c r="A344" s="96">
        <v>45108</v>
      </c>
      <c r="B344" s="135">
        <v>959.1</v>
      </c>
      <c r="C344" s="136">
        <v>987.88</v>
      </c>
      <c r="D344" s="137">
        <v>1017.52</v>
      </c>
      <c r="E344" s="136">
        <v>1048.03</v>
      </c>
      <c r="F344" s="137">
        <v>1079.48</v>
      </c>
      <c r="G344" s="81">
        <v>1443.12</v>
      </c>
      <c r="H344" s="144">
        <v>959.1</v>
      </c>
      <c r="I344" s="136">
        <v>987.88</v>
      </c>
      <c r="J344" s="137">
        <v>1017.52</v>
      </c>
      <c r="K344" s="136">
        <v>1048.03</v>
      </c>
      <c r="L344" s="137">
        <v>1079.48</v>
      </c>
      <c r="M344" s="81">
        <v>1443.12</v>
      </c>
      <c r="N344" s="144">
        <v>1003.45</v>
      </c>
      <c r="O344" s="136">
        <v>1043.5899999999999</v>
      </c>
      <c r="P344" s="137">
        <v>1085.3399999999999</v>
      </c>
      <c r="Q344" s="136">
        <v>1128.74</v>
      </c>
      <c r="R344" s="137">
        <v>1253.8399999999999</v>
      </c>
      <c r="S344" s="81">
        <v>1443.12</v>
      </c>
      <c r="T344" s="149">
        <v>1305.1099999999999</v>
      </c>
      <c r="U344" s="34">
        <v>1443.12</v>
      </c>
      <c r="V344" s="35">
        <v>1510.83</v>
      </c>
      <c r="W344" s="34">
        <v>1586.37</v>
      </c>
      <c r="X344" s="35">
        <v>1665.7</v>
      </c>
      <c r="Y344" s="34">
        <v>1748.99</v>
      </c>
      <c r="Z344" s="36">
        <v>1836.43</v>
      </c>
    </row>
    <row r="345" spans="1:26" x14ac:dyDescent="0.2">
      <c r="A345" s="96">
        <v>45139</v>
      </c>
      <c r="B345" s="135">
        <v>959.1</v>
      </c>
      <c r="C345" s="136">
        <v>987.88</v>
      </c>
      <c r="D345" s="137">
        <v>1017.52</v>
      </c>
      <c r="E345" s="136">
        <v>1048.03</v>
      </c>
      <c r="F345" s="137">
        <v>1079.48</v>
      </c>
      <c r="G345" s="81">
        <v>1443.12</v>
      </c>
      <c r="H345" s="144">
        <v>959.1</v>
      </c>
      <c r="I345" s="136">
        <v>987.88</v>
      </c>
      <c r="J345" s="137">
        <v>1017.52</v>
      </c>
      <c r="K345" s="136">
        <v>1048.03</v>
      </c>
      <c r="L345" s="137">
        <v>1079.48</v>
      </c>
      <c r="M345" s="81">
        <v>1443.12</v>
      </c>
      <c r="N345" s="144">
        <v>1003.45</v>
      </c>
      <c r="O345" s="136">
        <v>1043.5899999999999</v>
      </c>
      <c r="P345" s="137">
        <v>1085.3399999999999</v>
      </c>
      <c r="Q345" s="136">
        <v>1128.74</v>
      </c>
      <c r="R345" s="137">
        <v>1253.8399999999999</v>
      </c>
      <c r="S345" s="81">
        <v>1443.12</v>
      </c>
      <c r="T345" s="149">
        <v>1305.1099999999999</v>
      </c>
      <c r="U345" s="34">
        <v>1443.12</v>
      </c>
      <c r="V345" s="35">
        <v>1510.83</v>
      </c>
      <c r="W345" s="34">
        <v>1586.37</v>
      </c>
      <c r="X345" s="35">
        <v>1665.7</v>
      </c>
      <c r="Y345" s="34">
        <v>1748.99</v>
      </c>
      <c r="Z345" s="36">
        <v>1836.43</v>
      </c>
    </row>
    <row r="346" spans="1:26" x14ac:dyDescent="0.2">
      <c r="A346" s="96">
        <v>45170</v>
      </c>
      <c r="B346" s="135">
        <v>959.1</v>
      </c>
      <c r="C346" s="136">
        <v>987.88</v>
      </c>
      <c r="D346" s="137">
        <v>1017.52</v>
      </c>
      <c r="E346" s="136">
        <v>1048.03</v>
      </c>
      <c r="F346" s="137">
        <v>1079.48</v>
      </c>
      <c r="G346" s="81">
        <v>1443.12</v>
      </c>
      <c r="H346" s="144">
        <v>959.1</v>
      </c>
      <c r="I346" s="136">
        <v>987.88</v>
      </c>
      <c r="J346" s="137">
        <v>1017.52</v>
      </c>
      <c r="K346" s="136">
        <v>1048.03</v>
      </c>
      <c r="L346" s="137">
        <v>1079.48</v>
      </c>
      <c r="M346" s="81">
        <v>1443.12</v>
      </c>
      <c r="N346" s="144">
        <v>1003.45</v>
      </c>
      <c r="O346" s="136">
        <v>1043.5899999999999</v>
      </c>
      <c r="P346" s="137">
        <v>1085.3399999999999</v>
      </c>
      <c r="Q346" s="136">
        <v>1128.74</v>
      </c>
      <c r="R346" s="137">
        <v>1253.8399999999999</v>
      </c>
      <c r="S346" s="81">
        <v>1443.12</v>
      </c>
      <c r="T346" s="149">
        <v>1305.1099999999999</v>
      </c>
      <c r="U346" s="34">
        <v>1443.12</v>
      </c>
      <c r="V346" s="35">
        <v>1510.83</v>
      </c>
      <c r="W346" s="34">
        <v>1586.37</v>
      </c>
      <c r="X346" s="35">
        <v>1665.7</v>
      </c>
      <c r="Y346" s="34">
        <v>1748.99</v>
      </c>
      <c r="Z346" s="36">
        <v>1836.43</v>
      </c>
    </row>
    <row r="347" spans="1:26" x14ac:dyDescent="0.2">
      <c r="A347" s="96">
        <v>45200</v>
      </c>
      <c r="B347" s="135">
        <v>959.1</v>
      </c>
      <c r="C347" s="136">
        <v>987.88</v>
      </c>
      <c r="D347" s="137">
        <v>1017.52</v>
      </c>
      <c r="E347" s="136">
        <v>1048.03</v>
      </c>
      <c r="F347" s="137">
        <v>1079.48</v>
      </c>
      <c r="G347" s="81">
        <v>1443.12</v>
      </c>
      <c r="H347" s="144">
        <v>959.1</v>
      </c>
      <c r="I347" s="136">
        <v>987.88</v>
      </c>
      <c r="J347" s="137">
        <v>1017.52</v>
      </c>
      <c r="K347" s="136">
        <v>1048.03</v>
      </c>
      <c r="L347" s="137">
        <v>1079.48</v>
      </c>
      <c r="M347" s="81">
        <v>1443.12</v>
      </c>
      <c r="N347" s="144">
        <v>1003.45</v>
      </c>
      <c r="O347" s="136">
        <v>1043.5899999999999</v>
      </c>
      <c r="P347" s="137">
        <v>1085.3399999999999</v>
      </c>
      <c r="Q347" s="136">
        <v>1128.74</v>
      </c>
      <c r="R347" s="137">
        <v>1253.8399999999999</v>
      </c>
      <c r="S347" s="81">
        <v>1443.12</v>
      </c>
      <c r="T347" s="149">
        <v>1305.1099999999999</v>
      </c>
      <c r="U347" s="34">
        <v>1443.12</v>
      </c>
      <c r="V347" s="35">
        <v>1510.83</v>
      </c>
      <c r="W347" s="34">
        <v>1586.37</v>
      </c>
      <c r="X347" s="35">
        <v>1665.7</v>
      </c>
      <c r="Y347" s="34">
        <v>1748.99</v>
      </c>
      <c r="Z347" s="36">
        <v>1836.43</v>
      </c>
    </row>
    <row r="348" spans="1:26" x14ac:dyDescent="0.2">
      <c r="A348" s="96">
        <v>45231</v>
      </c>
      <c r="B348" s="135">
        <v>959.1</v>
      </c>
      <c r="C348" s="136">
        <v>987.88</v>
      </c>
      <c r="D348" s="137">
        <v>1017.52</v>
      </c>
      <c r="E348" s="136">
        <v>1048.03</v>
      </c>
      <c r="F348" s="137">
        <v>1079.48</v>
      </c>
      <c r="G348" s="81">
        <v>1443.12</v>
      </c>
      <c r="H348" s="144">
        <v>959.1</v>
      </c>
      <c r="I348" s="136">
        <v>987.88</v>
      </c>
      <c r="J348" s="137">
        <v>1017.52</v>
      </c>
      <c r="K348" s="136">
        <v>1048.03</v>
      </c>
      <c r="L348" s="137">
        <v>1079.48</v>
      </c>
      <c r="M348" s="81">
        <v>1443.12</v>
      </c>
      <c r="N348" s="144">
        <v>1003.45</v>
      </c>
      <c r="O348" s="136">
        <v>1043.5899999999999</v>
      </c>
      <c r="P348" s="137">
        <v>1085.3399999999999</v>
      </c>
      <c r="Q348" s="136">
        <v>1128.74</v>
      </c>
      <c r="R348" s="137">
        <v>1253.8399999999999</v>
      </c>
      <c r="S348" s="81">
        <v>1443.12</v>
      </c>
      <c r="T348" s="149">
        <v>1305.1099999999999</v>
      </c>
      <c r="U348" s="34">
        <v>1443.12</v>
      </c>
      <c r="V348" s="35">
        <v>1510.83</v>
      </c>
      <c r="W348" s="34">
        <v>1586.37</v>
      </c>
      <c r="X348" s="35">
        <v>1665.7</v>
      </c>
      <c r="Y348" s="34">
        <v>1748.99</v>
      </c>
      <c r="Z348" s="36">
        <v>1836.43</v>
      </c>
    </row>
    <row r="349" spans="1:26" ht="13.5" thickBot="1" x14ac:dyDescent="0.25">
      <c r="A349" s="99">
        <v>45261</v>
      </c>
      <c r="B349" s="155">
        <v>959.1</v>
      </c>
      <c r="C349" s="146">
        <v>987.88</v>
      </c>
      <c r="D349" s="147">
        <v>1017.52</v>
      </c>
      <c r="E349" s="146">
        <v>1048.03</v>
      </c>
      <c r="F349" s="147">
        <v>1079.48</v>
      </c>
      <c r="G349" s="89">
        <v>1443.12</v>
      </c>
      <c r="H349" s="145">
        <v>959.1</v>
      </c>
      <c r="I349" s="146">
        <v>987.88</v>
      </c>
      <c r="J349" s="147">
        <v>1017.52</v>
      </c>
      <c r="K349" s="146">
        <v>1048.03</v>
      </c>
      <c r="L349" s="147">
        <v>1079.48</v>
      </c>
      <c r="M349" s="89">
        <v>1443.12</v>
      </c>
      <c r="N349" s="145">
        <v>1003.45</v>
      </c>
      <c r="O349" s="146">
        <v>1043.5899999999999</v>
      </c>
      <c r="P349" s="147">
        <v>1085.3399999999999</v>
      </c>
      <c r="Q349" s="146">
        <v>1128.74</v>
      </c>
      <c r="R349" s="147">
        <v>1253.8399999999999</v>
      </c>
      <c r="S349" s="89">
        <v>1443.12</v>
      </c>
      <c r="T349" s="152">
        <v>1305.1099999999999</v>
      </c>
      <c r="U349" s="43">
        <v>1443.12</v>
      </c>
      <c r="V349" s="42">
        <v>1510.83</v>
      </c>
      <c r="W349" s="43">
        <v>1586.37</v>
      </c>
      <c r="X349" s="42">
        <v>1665.7</v>
      </c>
      <c r="Y349" s="43">
        <v>1748.99</v>
      </c>
      <c r="Z349" s="44">
        <v>1836.43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4"/>
  <dimension ref="A1:Z217"/>
  <sheetViews>
    <sheetView workbookViewId="0">
      <pane xSplit="1" ySplit="1" topLeftCell="B95" activePane="bottomRight" state="frozen"/>
      <selection activeCell="B2" sqref="B2"/>
      <selection pane="topRight" activeCell="B2" sqref="B2"/>
      <selection pane="bottomLeft" activeCell="B2" sqref="B2"/>
      <selection pane="bottomRight" activeCell="B98" sqref="B98"/>
    </sheetView>
  </sheetViews>
  <sheetFormatPr defaultRowHeight="12.75" x14ac:dyDescent="0.2"/>
  <cols>
    <col min="1" max="1" width="5.5703125" bestFit="1" customWidth="1"/>
    <col min="9" max="19" width="10.42578125" bestFit="1" customWidth="1"/>
  </cols>
  <sheetData>
    <row r="1" spans="1:26" ht="13.5" thickBot="1" x14ac:dyDescent="0.25">
      <c r="A1" s="60" t="s">
        <v>23</v>
      </c>
      <c r="B1" s="61" t="s">
        <v>24</v>
      </c>
      <c r="C1" s="62" t="s">
        <v>25</v>
      </c>
      <c r="D1" s="63" t="s">
        <v>26</v>
      </c>
      <c r="E1" s="62" t="s">
        <v>27</v>
      </c>
      <c r="F1" s="63" t="s">
        <v>28</v>
      </c>
      <c r="G1" s="64" t="s">
        <v>29</v>
      </c>
      <c r="H1" s="61" t="s">
        <v>30</v>
      </c>
      <c r="I1" s="62" t="s">
        <v>31</v>
      </c>
      <c r="J1" s="63" t="s">
        <v>32</v>
      </c>
      <c r="K1" s="62" t="s">
        <v>33</v>
      </c>
      <c r="L1" s="63" t="s">
        <v>34</v>
      </c>
      <c r="M1" s="64" t="s">
        <v>35</v>
      </c>
      <c r="N1" s="61" t="s">
        <v>36</v>
      </c>
      <c r="O1" s="62" t="s">
        <v>37</v>
      </c>
      <c r="P1" s="63" t="s">
        <v>38</v>
      </c>
      <c r="Q1" s="62" t="s">
        <v>39</v>
      </c>
      <c r="R1" s="63" t="s">
        <v>40</v>
      </c>
      <c r="S1" s="64" t="s">
        <v>41</v>
      </c>
      <c r="T1" s="61" t="s">
        <v>42</v>
      </c>
      <c r="U1" s="62" t="s">
        <v>43</v>
      </c>
      <c r="V1" s="63" t="s">
        <v>44</v>
      </c>
      <c r="W1" s="62" t="s">
        <v>45</v>
      </c>
      <c r="X1" s="63" t="s">
        <v>46</v>
      </c>
      <c r="Y1" s="62" t="s">
        <v>47</v>
      </c>
      <c r="Z1" s="65" t="s">
        <v>48</v>
      </c>
    </row>
    <row r="2" spans="1:26" x14ac:dyDescent="0.2">
      <c r="A2" s="54">
        <v>34700</v>
      </c>
      <c r="B2" s="66">
        <v>70</v>
      </c>
      <c r="C2" s="55">
        <f t="shared" ref="C2:R17" si="0">(B2*0.05)+B2</f>
        <v>73.5</v>
      </c>
      <c r="D2" s="67">
        <f t="shared" si="0"/>
        <v>77.174999999999997</v>
      </c>
      <c r="E2" s="55">
        <f t="shared" si="0"/>
        <v>81.033749999999998</v>
      </c>
      <c r="F2" s="67">
        <f t="shared" si="0"/>
        <v>85.085437499999998</v>
      </c>
      <c r="G2" s="68">
        <f t="shared" si="0"/>
        <v>89.339709374999998</v>
      </c>
      <c r="H2" s="66">
        <f t="shared" si="0"/>
        <v>93.806694843749995</v>
      </c>
      <c r="I2" s="55">
        <f t="shared" si="0"/>
        <v>98.497029585937497</v>
      </c>
      <c r="J2" s="67">
        <f t="shared" si="0"/>
        <v>103.42188106523437</v>
      </c>
      <c r="K2" s="55">
        <f t="shared" si="0"/>
        <v>108.5929751184961</v>
      </c>
      <c r="L2" s="67">
        <f t="shared" si="0"/>
        <v>114.0226238744209</v>
      </c>
      <c r="M2" s="68">
        <f t="shared" si="0"/>
        <v>119.72375506814194</v>
      </c>
      <c r="N2" s="66">
        <f t="shared" si="0"/>
        <v>125.70994282154903</v>
      </c>
      <c r="O2" s="55">
        <f t="shared" si="0"/>
        <v>131.99543996262648</v>
      </c>
      <c r="P2" s="67">
        <f t="shared" si="0"/>
        <v>138.59521196075781</v>
      </c>
      <c r="Q2" s="55">
        <f t="shared" si="0"/>
        <v>145.5249725587957</v>
      </c>
      <c r="R2" s="67">
        <f t="shared" si="0"/>
        <v>152.80122118673549</v>
      </c>
      <c r="S2" s="68">
        <f t="shared" ref="S2:S36" si="1">(R2*0.05)+R2</f>
        <v>160.44128224607226</v>
      </c>
      <c r="T2" s="56">
        <f t="shared" ref="T2:T36" si="2">(S2*0.05)+S2</f>
        <v>168.46334635837587</v>
      </c>
      <c r="U2" s="57">
        <f t="shared" ref="U2:U36" si="3">(T2*0.05)+T2</f>
        <v>176.88651367629467</v>
      </c>
      <c r="V2" s="58">
        <f t="shared" ref="V2:V36" si="4">(U2*0.05)+U2</f>
        <v>185.7308393601094</v>
      </c>
      <c r="W2" s="57">
        <f t="shared" ref="W2:W36" si="5">(V2*0.05)+V2</f>
        <v>195.01738132811488</v>
      </c>
      <c r="X2" s="58">
        <f t="shared" ref="X2:X36" si="6">(W2*0.05)+W2</f>
        <v>204.76825039452063</v>
      </c>
      <c r="Y2" s="57">
        <f t="shared" ref="Y2:Y36" si="7">(X2*0.05)+X2</f>
        <v>215.00666291424668</v>
      </c>
      <c r="Z2" s="59">
        <f t="shared" ref="Z2:Z36" si="8">(Y2*0.05)+Y2</f>
        <v>225.75699605995902</v>
      </c>
    </row>
    <row r="3" spans="1:26" x14ac:dyDescent="0.2">
      <c r="A3" s="23">
        <v>34731</v>
      </c>
      <c r="B3" s="66">
        <v>85.45</v>
      </c>
      <c r="C3" s="10">
        <f t="shared" si="0"/>
        <v>89.722499999999997</v>
      </c>
      <c r="D3" s="69">
        <f t="shared" si="0"/>
        <v>94.208624999999998</v>
      </c>
      <c r="E3" s="10">
        <f t="shared" si="0"/>
        <v>98.919056249999997</v>
      </c>
      <c r="F3" s="69">
        <f t="shared" si="0"/>
        <v>103.86500906249999</v>
      </c>
      <c r="G3" s="70">
        <f t="shared" si="0"/>
        <v>109.058259515625</v>
      </c>
      <c r="H3" s="71">
        <f t="shared" si="0"/>
        <v>114.51117249140624</v>
      </c>
      <c r="I3" s="10">
        <f t="shared" si="0"/>
        <v>120.23673111597655</v>
      </c>
      <c r="J3" s="69">
        <f t="shared" si="0"/>
        <v>126.24856767177538</v>
      </c>
      <c r="K3" s="10">
        <f t="shared" si="0"/>
        <v>132.56099605536414</v>
      </c>
      <c r="L3" s="69">
        <f t="shared" si="0"/>
        <v>139.18904585813235</v>
      </c>
      <c r="M3" s="70">
        <f t="shared" si="0"/>
        <v>146.14849815103895</v>
      </c>
      <c r="N3" s="71">
        <f t="shared" si="0"/>
        <v>153.45592305859088</v>
      </c>
      <c r="O3" s="10">
        <f t="shared" si="0"/>
        <v>161.12871921152043</v>
      </c>
      <c r="P3" s="69">
        <f t="shared" si="0"/>
        <v>169.18515517209644</v>
      </c>
      <c r="Q3" s="10">
        <f t="shared" si="0"/>
        <v>177.64441293070126</v>
      </c>
      <c r="R3" s="69">
        <f t="shared" si="0"/>
        <v>186.52663357723634</v>
      </c>
      <c r="S3" s="70">
        <f t="shared" si="1"/>
        <v>195.85296525609814</v>
      </c>
      <c r="T3" s="11">
        <f t="shared" si="2"/>
        <v>205.64561351890305</v>
      </c>
      <c r="U3" s="12">
        <f t="shared" si="3"/>
        <v>215.92789419484819</v>
      </c>
      <c r="V3" s="13">
        <f t="shared" si="4"/>
        <v>226.72428890459059</v>
      </c>
      <c r="W3" s="12">
        <f t="shared" si="5"/>
        <v>238.06050334982012</v>
      </c>
      <c r="X3" s="13">
        <f t="shared" si="6"/>
        <v>249.96352851731112</v>
      </c>
      <c r="Y3" s="12">
        <f t="shared" si="7"/>
        <v>262.4617049431767</v>
      </c>
      <c r="Z3" s="14">
        <f t="shared" si="8"/>
        <v>275.58479019033553</v>
      </c>
    </row>
    <row r="4" spans="1:26" x14ac:dyDescent="0.2">
      <c r="A4" s="23">
        <v>34759</v>
      </c>
      <c r="B4" s="66">
        <v>85.45</v>
      </c>
      <c r="C4" s="10">
        <f t="shared" si="0"/>
        <v>89.722499999999997</v>
      </c>
      <c r="D4" s="69">
        <f t="shared" si="0"/>
        <v>94.208624999999998</v>
      </c>
      <c r="E4" s="10">
        <f t="shared" si="0"/>
        <v>98.919056249999997</v>
      </c>
      <c r="F4" s="69">
        <f t="shared" si="0"/>
        <v>103.86500906249999</v>
      </c>
      <c r="G4" s="70">
        <f t="shared" si="0"/>
        <v>109.058259515625</v>
      </c>
      <c r="H4" s="71">
        <f t="shared" si="0"/>
        <v>114.51117249140624</v>
      </c>
      <c r="I4" s="10">
        <f t="shared" si="0"/>
        <v>120.23673111597655</v>
      </c>
      <c r="J4" s="69">
        <f t="shared" si="0"/>
        <v>126.24856767177538</v>
      </c>
      <c r="K4" s="10">
        <f t="shared" si="0"/>
        <v>132.56099605536414</v>
      </c>
      <c r="L4" s="69">
        <f t="shared" si="0"/>
        <v>139.18904585813235</v>
      </c>
      <c r="M4" s="70">
        <f t="shared" si="0"/>
        <v>146.14849815103895</v>
      </c>
      <c r="N4" s="71">
        <f t="shared" si="0"/>
        <v>153.45592305859088</v>
      </c>
      <c r="O4" s="10">
        <f t="shared" si="0"/>
        <v>161.12871921152043</v>
      </c>
      <c r="P4" s="69">
        <f t="shared" si="0"/>
        <v>169.18515517209644</v>
      </c>
      <c r="Q4" s="10">
        <f t="shared" si="0"/>
        <v>177.64441293070126</v>
      </c>
      <c r="R4" s="69">
        <f t="shared" si="0"/>
        <v>186.52663357723634</v>
      </c>
      <c r="S4" s="70">
        <f t="shared" si="1"/>
        <v>195.85296525609814</v>
      </c>
      <c r="T4" s="11">
        <f t="shared" si="2"/>
        <v>205.64561351890305</v>
      </c>
      <c r="U4" s="12">
        <f t="shared" si="3"/>
        <v>215.92789419484819</v>
      </c>
      <c r="V4" s="13">
        <f t="shared" si="4"/>
        <v>226.72428890459059</v>
      </c>
      <c r="W4" s="12">
        <f t="shared" si="5"/>
        <v>238.06050334982012</v>
      </c>
      <c r="X4" s="13">
        <f t="shared" si="6"/>
        <v>249.96352851731112</v>
      </c>
      <c r="Y4" s="12">
        <f t="shared" si="7"/>
        <v>262.4617049431767</v>
      </c>
      <c r="Z4" s="14">
        <f t="shared" si="8"/>
        <v>275.58479019033553</v>
      </c>
    </row>
    <row r="5" spans="1:26" x14ac:dyDescent="0.2">
      <c r="A5" s="23">
        <v>34790</v>
      </c>
      <c r="B5" s="66">
        <v>85.45</v>
      </c>
      <c r="C5" s="10">
        <f t="shared" si="0"/>
        <v>89.722499999999997</v>
      </c>
      <c r="D5" s="69">
        <f t="shared" si="0"/>
        <v>94.208624999999998</v>
      </c>
      <c r="E5" s="10">
        <f t="shared" si="0"/>
        <v>98.919056249999997</v>
      </c>
      <c r="F5" s="69">
        <f t="shared" si="0"/>
        <v>103.86500906249999</v>
      </c>
      <c r="G5" s="70">
        <f t="shared" si="0"/>
        <v>109.058259515625</v>
      </c>
      <c r="H5" s="71">
        <f t="shared" si="0"/>
        <v>114.51117249140624</v>
      </c>
      <c r="I5" s="10">
        <f t="shared" si="0"/>
        <v>120.23673111597655</v>
      </c>
      <c r="J5" s="69">
        <f t="shared" si="0"/>
        <v>126.24856767177538</v>
      </c>
      <c r="K5" s="10">
        <f t="shared" si="0"/>
        <v>132.56099605536414</v>
      </c>
      <c r="L5" s="69">
        <f t="shared" si="0"/>
        <v>139.18904585813235</v>
      </c>
      <c r="M5" s="70">
        <f t="shared" si="0"/>
        <v>146.14849815103895</v>
      </c>
      <c r="N5" s="71">
        <f t="shared" si="0"/>
        <v>153.45592305859088</v>
      </c>
      <c r="O5" s="10">
        <f t="shared" si="0"/>
        <v>161.12871921152043</v>
      </c>
      <c r="P5" s="69">
        <f t="shared" si="0"/>
        <v>169.18515517209644</v>
      </c>
      <c r="Q5" s="10">
        <f t="shared" si="0"/>
        <v>177.64441293070126</v>
      </c>
      <c r="R5" s="69">
        <f t="shared" si="0"/>
        <v>186.52663357723634</v>
      </c>
      <c r="S5" s="70">
        <f t="shared" si="1"/>
        <v>195.85296525609814</v>
      </c>
      <c r="T5" s="11">
        <f t="shared" si="2"/>
        <v>205.64561351890305</v>
      </c>
      <c r="U5" s="12">
        <f t="shared" si="3"/>
        <v>215.92789419484819</v>
      </c>
      <c r="V5" s="13">
        <f t="shared" si="4"/>
        <v>226.72428890459059</v>
      </c>
      <c r="W5" s="12">
        <f t="shared" si="5"/>
        <v>238.06050334982012</v>
      </c>
      <c r="X5" s="13">
        <f t="shared" si="6"/>
        <v>249.96352851731112</v>
      </c>
      <c r="Y5" s="12">
        <f t="shared" si="7"/>
        <v>262.4617049431767</v>
      </c>
      <c r="Z5" s="14">
        <f t="shared" si="8"/>
        <v>275.58479019033553</v>
      </c>
    </row>
    <row r="6" spans="1:26" x14ac:dyDescent="0.2">
      <c r="A6" s="23">
        <v>34820</v>
      </c>
      <c r="B6" s="66">
        <v>85.45</v>
      </c>
      <c r="C6" s="10">
        <f t="shared" si="0"/>
        <v>89.722499999999997</v>
      </c>
      <c r="D6" s="69">
        <f t="shared" si="0"/>
        <v>94.208624999999998</v>
      </c>
      <c r="E6" s="10">
        <f t="shared" si="0"/>
        <v>98.919056249999997</v>
      </c>
      <c r="F6" s="69">
        <f t="shared" si="0"/>
        <v>103.86500906249999</v>
      </c>
      <c r="G6" s="70">
        <f t="shared" si="0"/>
        <v>109.058259515625</v>
      </c>
      <c r="H6" s="71">
        <f t="shared" si="0"/>
        <v>114.51117249140624</v>
      </c>
      <c r="I6" s="10">
        <f t="shared" si="0"/>
        <v>120.23673111597655</v>
      </c>
      <c r="J6" s="69">
        <f t="shared" si="0"/>
        <v>126.24856767177538</v>
      </c>
      <c r="K6" s="10">
        <f t="shared" si="0"/>
        <v>132.56099605536414</v>
      </c>
      <c r="L6" s="69">
        <f t="shared" si="0"/>
        <v>139.18904585813235</v>
      </c>
      <c r="M6" s="70">
        <f t="shared" si="0"/>
        <v>146.14849815103895</v>
      </c>
      <c r="N6" s="71">
        <f t="shared" si="0"/>
        <v>153.45592305859088</v>
      </c>
      <c r="O6" s="10">
        <f t="shared" si="0"/>
        <v>161.12871921152043</v>
      </c>
      <c r="P6" s="69">
        <f t="shared" si="0"/>
        <v>169.18515517209644</v>
      </c>
      <c r="Q6" s="10">
        <f t="shared" si="0"/>
        <v>177.64441293070126</v>
      </c>
      <c r="R6" s="69">
        <f t="shared" si="0"/>
        <v>186.52663357723634</v>
      </c>
      <c r="S6" s="70">
        <f t="shared" si="1"/>
        <v>195.85296525609814</v>
      </c>
      <c r="T6" s="11">
        <f t="shared" si="2"/>
        <v>205.64561351890305</v>
      </c>
      <c r="U6" s="12">
        <f t="shared" si="3"/>
        <v>215.92789419484819</v>
      </c>
      <c r="V6" s="13">
        <f t="shared" si="4"/>
        <v>226.72428890459059</v>
      </c>
      <c r="W6" s="12">
        <f t="shared" si="5"/>
        <v>238.06050334982012</v>
      </c>
      <c r="X6" s="13">
        <f t="shared" si="6"/>
        <v>249.96352851731112</v>
      </c>
      <c r="Y6" s="12">
        <f t="shared" si="7"/>
        <v>262.4617049431767</v>
      </c>
      <c r="Z6" s="14">
        <f t="shared" si="8"/>
        <v>275.58479019033553</v>
      </c>
    </row>
    <row r="7" spans="1:26" x14ac:dyDescent="0.2">
      <c r="A7" s="23">
        <v>34851</v>
      </c>
      <c r="B7" s="66">
        <v>85.45</v>
      </c>
      <c r="C7" s="10">
        <f t="shared" si="0"/>
        <v>89.722499999999997</v>
      </c>
      <c r="D7" s="69">
        <f t="shared" si="0"/>
        <v>94.208624999999998</v>
      </c>
      <c r="E7" s="10">
        <f t="shared" si="0"/>
        <v>98.919056249999997</v>
      </c>
      <c r="F7" s="69">
        <f t="shared" si="0"/>
        <v>103.86500906249999</v>
      </c>
      <c r="G7" s="70">
        <f t="shared" si="0"/>
        <v>109.058259515625</v>
      </c>
      <c r="H7" s="71">
        <f t="shared" si="0"/>
        <v>114.51117249140624</v>
      </c>
      <c r="I7" s="10">
        <f t="shared" si="0"/>
        <v>120.23673111597655</v>
      </c>
      <c r="J7" s="69">
        <f t="shared" si="0"/>
        <v>126.24856767177538</v>
      </c>
      <c r="K7" s="10">
        <f t="shared" si="0"/>
        <v>132.56099605536414</v>
      </c>
      <c r="L7" s="69">
        <f t="shared" si="0"/>
        <v>139.18904585813235</v>
      </c>
      <c r="M7" s="70">
        <f t="shared" si="0"/>
        <v>146.14849815103895</v>
      </c>
      <c r="N7" s="71">
        <f t="shared" si="0"/>
        <v>153.45592305859088</v>
      </c>
      <c r="O7" s="10">
        <f t="shared" si="0"/>
        <v>161.12871921152043</v>
      </c>
      <c r="P7" s="69">
        <f t="shared" si="0"/>
        <v>169.18515517209644</v>
      </c>
      <c r="Q7" s="10">
        <f t="shared" si="0"/>
        <v>177.64441293070126</v>
      </c>
      <c r="R7" s="69">
        <f t="shared" si="0"/>
        <v>186.52663357723634</v>
      </c>
      <c r="S7" s="70">
        <f t="shared" si="1"/>
        <v>195.85296525609814</v>
      </c>
      <c r="T7" s="11">
        <f t="shared" si="2"/>
        <v>205.64561351890305</v>
      </c>
      <c r="U7" s="12">
        <f t="shared" si="3"/>
        <v>215.92789419484819</v>
      </c>
      <c r="V7" s="13">
        <f t="shared" si="4"/>
        <v>226.72428890459059</v>
      </c>
      <c r="W7" s="12">
        <f t="shared" si="5"/>
        <v>238.06050334982012</v>
      </c>
      <c r="X7" s="13">
        <f t="shared" si="6"/>
        <v>249.96352851731112</v>
      </c>
      <c r="Y7" s="12">
        <f t="shared" si="7"/>
        <v>262.4617049431767</v>
      </c>
      <c r="Z7" s="14">
        <f t="shared" si="8"/>
        <v>275.58479019033553</v>
      </c>
    </row>
    <row r="8" spans="1:26" x14ac:dyDescent="0.2">
      <c r="A8" s="23">
        <v>34881</v>
      </c>
      <c r="B8" s="66">
        <v>85.45</v>
      </c>
      <c r="C8" s="10">
        <f t="shared" si="0"/>
        <v>89.722499999999997</v>
      </c>
      <c r="D8" s="69">
        <f t="shared" si="0"/>
        <v>94.208624999999998</v>
      </c>
      <c r="E8" s="10">
        <f t="shared" si="0"/>
        <v>98.919056249999997</v>
      </c>
      <c r="F8" s="69">
        <f t="shared" si="0"/>
        <v>103.86500906249999</v>
      </c>
      <c r="G8" s="70">
        <f t="shared" si="0"/>
        <v>109.058259515625</v>
      </c>
      <c r="H8" s="71">
        <f t="shared" si="0"/>
        <v>114.51117249140624</v>
      </c>
      <c r="I8" s="10">
        <f t="shared" si="0"/>
        <v>120.23673111597655</v>
      </c>
      <c r="J8" s="69">
        <f t="shared" si="0"/>
        <v>126.24856767177538</v>
      </c>
      <c r="K8" s="10">
        <f t="shared" si="0"/>
        <v>132.56099605536414</v>
      </c>
      <c r="L8" s="69">
        <f t="shared" si="0"/>
        <v>139.18904585813235</v>
      </c>
      <c r="M8" s="70">
        <f t="shared" si="0"/>
        <v>146.14849815103895</v>
      </c>
      <c r="N8" s="71">
        <f t="shared" si="0"/>
        <v>153.45592305859088</v>
      </c>
      <c r="O8" s="10">
        <f t="shared" si="0"/>
        <v>161.12871921152043</v>
      </c>
      <c r="P8" s="69">
        <f t="shared" si="0"/>
        <v>169.18515517209644</v>
      </c>
      <c r="Q8" s="10">
        <f t="shared" si="0"/>
        <v>177.64441293070126</v>
      </c>
      <c r="R8" s="69">
        <f t="shared" si="0"/>
        <v>186.52663357723634</v>
      </c>
      <c r="S8" s="70">
        <f t="shared" si="1"/>
        <v>195.85296525609814</v>
      </c>
      <c r="T8" s="11">
        <f t="shared" si="2"/>
        <v>205.64561351890305</v>
      </c>
      <c r="U8" s="12">
        <f t="shared" si="3"/>
        <v>215.92789419484819</v>
      </c>
      <c r="V8" s="13">
        <f t="shared" si="4"/>
        <v>226.72428890459059</v>
      </c>
      <c r="W8" s="12">
        <f t="shared" si="5"/>
        <v>238.06050334982012</v>
      </c>
      <c r="X8" s="13">
        <f t="shared" si="6"/>
        <v>249.96352851731112</v>
      </c>
      <c r="Y8" s="12">
        <f t="shared" si="7"/>
        <v>262.4617049431767</v>
      </c>
      <c r="Z8" s="14">
        <f t="shared" si="8"/>
        <v>275.58479019033553</v>
      </c>
    </row>
    <row r="9" spans="1:26" x14ac:dyDescent="0.2">
      <c r="A9" s="23">
        <v>34912</v>
      </c>
      <c r="B9" s="66">
        <v>85.45</v>
      </c>
      <c r="C9" s="10">
        <f t="shared" si="0"/>
        <v>89.722499999999997</v>
      </c>
      <c r="D9" s="69">
        <f t="shared" si="0"/>
        <v>94.208624999999998</v>
      </c>
      <c r="E9" s="10">
        <f t="shared" si="0"/>
        <v>98.919056249999997</v>
      </c>
      <c r="F9" s="69">
        <f t="shared" si="0"/>
        <v>103.86500906249999</v>
      </c>
      <c r="G9" s="70">
        <f t="shared" si="0"/>
        <v>109.058259515625</v>
      </c>
      <c r="H9" s="71">
        <f t="shared" si="0"/>
        <v>114.51117249140624</v>
      </c>
      <c r="I9" s="10">
        <f t="shared" si="0"/>
        <v>120.23673111597655</v>
      </c>
      <c r="J9" s="69">
        <f t="shared" si="0"/>
        <v>126.24856767177538</v>
      </c>
      <c r="K9" s="10">
        <f t="shared" si="0"/>
        <v>132.56099605536414</v>
      </c>
      <c r="L9" s="69">
        <f t="shared" si="0"/>
        <v>139.18904585813235</v>
      </c>
      <c r="M9" s="70">
        <f t="shared" si="0"/>
        <v>146.14849815103895</v>
      </c>
      <c r="N9" s="71">
        <f t="shared" si="0"/>
        <v>153.45592305859088</v>
      </c>
      <c r="O9" s="10">
        <f t="shared" si="0"/>
        <v>161.12871921152043</v>
      </c>
      <c r="P9" s="69">
        <f t="shared" si="0"/>
        <v>169.18515517209644</v>
      </c>
      <c r="Q9" s="10">
        <f t="shared" si="0"/>
        <v>177.64441293070126</v>
      </c>
      <c r="R9" s="69">
        <f t="shared" si="0"/>
        <v>186.52663357723634</v>
      </c>
      <c r="S9" s="70">
        <f t="shared" si="1"/>
        <v>195.85296525609814</v>
      </c>
      <c r="T9" s="11">
        <f t="shared" si="2"/>
        <v>205.64561351890305</v>
      </c>
      <c r="U9" s="12">
        <f t="shared" si="3"/>
        <v>215.92789419484819</v>
      </c>
      <c r="V9" s="13">
        <f t="shared" si="4"/>
        <v>226.72428890459059</v>
      </c>
      <c r="W9" s="12">
        <f t="shared" si="5"/>
        <v>238.06050334982012</v>
      </c>
      <c r="X9" s="13">
        <f t="shared" si="6"/>
        <v>249.96352851731112</v>
      </c>
      <c r="Y9" s="12">
        <f t="shared" si="7"/>
        <v>262.4617049431767</v>
      </c>
      <c r="Z9" s="14">
        <f t="shared" si="8"/>
        <v>275.58479019033553</v>
      </c>
    </row>
    <row r="10" spans="1:26" x14ac:dyDescent="0.2">
      <c r="A10" s="23">
        <v>34943</v>
      </c>
      <c r="B10" s="66">
        <v>85.45</v>
      </c>
      <c r="C10" s="10">
        <f t="shared" si="0"/>
        <v>89.722499999999997</v>
      </c>
      <c r="D10" s="69">
        <f t="shared" si="0"/>
        <v>94.208624999999998</v>
      </c>
      <c r="E10" s="10">
        <f t="shared" si="0"/>
        <v>98.919056249999997</v>
      </c>
      <c r="F10" s="69">
        <f t="shared" si="0"/>
        <v>103.86500906249999</v>
      </c>
      <c r="G10" s="70">
        <f t="shared" si="0"/>
        <v>109.058259515625</v>
      </c>
      <c r="H10" s="71">
        <f t="shared" si="0"/>
        <v>114.51117249140624</v>
      </c>
      <c r="I10" s="10">
        <f t="shared" si="0"/>
        <v>120.23673111597655</v>
      </c>
      <c r="J10" s="69">
        <f t="shared" si="0"/>
        <v>126.24856767177538</v>
      </c>
      <c r="K10" s="10">
        <f t="shared" si="0"/>
        <v>132.56099605536414</v>
      </c>
      <c r="L10" s="69">
        <f t="shared" si="0"/>
        <v>139.18904585813235</v>
      </c>
      <c r="M10" s="70">
        <f t="shared" si="0"/>
        <v>146.14849815103895</v>
      </c>
      <c r="N10" s="71">
        <f t="shared" si="0"/>
        <v>153.45592305859088</v>
      </c>
      <c r="O10" s="10">
        <f t="shared" si="0"/>
        <v>161.12871921152043</v>
      </c>
      <c r="P10" s="69">
        <f t="shared" si="0"/>
        <v>169.18515517209644</v>
      </c>
      <c r="Q10" s="10">
        <f t="shared" si="0"/>
        <v>177.64441293070126</v>
      </c>
      <c r="R10" s="69">
        <f t="shared" si="0"/>
        <v>186.52663357723634</v>
      </c>
      <c r="S10" s="70">
        <f t="shared" si="1"/>
        <v>195.85296525609814</v>
      </c>
      <c r="T10" s="11">
        <f t="shared" si="2"/>
        <v>205.64561351890305</v>
      </c>
      <c r="U10" s="12">
        <f t="shared" si="3"/>
        <v>215.92789419484819</v>
      </c>
      <c r="V10" s="13">
        <f t="shared" si="4"/>
        <v>226.72428890459059</v>
      </c>
      <c r="W10" s="12">
        <f t="shared" si="5"/>
        <v>238.06050334982012</v>
      </c>
      <c r="X10" s="13">
        <f t="shared" si="6"/>
        <v>249.96352851731112</v>
      </c>
      <c r="Y10" s="12">
        <f t="shared" si="7"/>
        <v>262.4617049431767</v>
      </c>
      <c r="Z10" s="14">
        <f t="shared" si="8"/>
        <v>275.58479019033553</v>
      </c>
    </row>
    <row r="11" spans="1:26" x14ac:dyDescent="0.2">
      <c r="A11" s="23">
        <v>34973</v>
      </c>
      <c r="B11" s="66">
        <v>85.45</v>
      </c>
      <c r="C11" s="10">
        <f t="shared" si="0"/>
        <v>89.722499999999997</v>
      </c>
      <c r="D11" s="69">
        <f t="shared" si="0"/>
        <v>94.208624999999998</v>
      </c>
      <c r="E11" s="10">
        <f t="shared" si="0"/>
        <v>98.919056249999997</v>
      </c>
      <c r="F11" s="69">
        <f t="shared" si="0"/>
        <v>103.86500906249999</v>
      </c>
      <c r="G11" s="70">
        <f t="shared" si="0"/>
        <v>109.058259515625</v>
      </c>
      <c r="H11" s="71">
        <f t="shared" si="0"/>
        <v>114.51117249140624</v>
      </c>
      <c r="I11" s="10">
        <f t="shared" si="0"/>
        <v>120.23673111597655</v>
      </c>
      <c r="J11" s="69">
        <f t="shared" si="0"/>
        <v>126.24856767177538</v>
      </c>
      <c r="K11" s="10">
        <f t="shared" si="0"/>
        <v>132.56099605536414</v>
      </c>
      <c r="L11" s="69">
        <f t="shared" si="0"/>
        <v>139.18904585813235</v>
      </c>
      <c r="M11" s="70">
        <f t="shared" si="0"/>
        <v>146.14849815103895</v>
      </c>
      <c r="N11" s="71">
        <f t="shared" si="0"/>
        <v>153.45592305859088</v>
      </c>
      <c r="O11" s="10">
        <f t="shared" si="0"/>
        <v>161.12871921152043</v>
      </c>
      <c r="P11" s="69">
        <f t="shared" si="0"/>
        <v>169.18515517209644</v>
      </c>
      <c r="Q11" s="10">
        <f t="shared" si="0"/>
        <v>177.64441293070126</v>
      </c>
      <c r="R11" s="69">
        <f t="shared" si="0"/>
        <v>186.52663357723634</v>
      </c>
      <c r="S11" s="70">
        <f t="shared" si="1"/>
        <v>195.85296525609814</v>
      </c>
      <c r="T11" s="11">
        <f t="shared" si="2"/>
        <v>205.64561351890305</v>
      </c>
      <c r="U11" s="12">
        <f t="shared" si="3"/>
        <v>215.92789419484819</v>
      </c>
      <c r="V11" s="13">
        <f t="shared" si="4"/>
        <v>226.72428890459059</v>
      </c>
      <c r="W11" s="12">
        <f t="shared" si="5"/>
        <v>238.06050334982012</v>
      </c>
      <c r="X11" s="13">
        <f t="shared" si="6"/>
        <v>249.96352851731112</v>
      </c>
      <c r="Y11" s="12">
        <f t="shared" si="7"/>
        <v>262.4617049431767</v>
      </c>
      <c r="Z11" s="14">
        <f t="shared" si="8"/>
        <v>275.58479019033553</v>
      </c>
    </row>
    <row r="12" spans="1:26" x14ac:dyDescent="0.2">
      <c r="A12" s="23">
        <v>35004</v>
      </c>
      <c r="B12" s="66">
        <v>85.45</v>
      </c>
      <c r="C12" s="10">
        <f t="shared" si="0"/>
        <v>89.722499999999997</v>
      </c>
      <c r="D12" s="69">
        <f t="shared" si="0"/>
        <v>94.208624999999998</v>
      </c>
      <c r="E12" s="10">
        <f t="shared" si="0"/>
        <v>98.919056249999997</v>
      </c>
      <c r="F12" s="69">
        <f t="shared" si="0"/>
        <v>103.86500906249999</v>
      </c>
      <c r="G12" s="70">
        <f t="shared" si="0"/>
        <v>109.058259515625</v>
      </c>
      <c r="H12" s="71">
        <f t="shared" si="0"/>
        <v>114.51117249140624</v>
      </c>
      <c r="I12" s="10">
        <f t="shared" si="0"/>
        <v>120.23673111597655</v>
      </c>
      <c r="J12" s="69">
        <f t="shared" si="0"/>
        <v>126.24856767177538</v>
      </c>
      <c r="K12" s="10">
        <f t="shared" si="0"/>
        <v>132.56099605536414</v>
      </c>
      <c r="L12" s="69">
        <f t="shared" si="0"/>
        <v>139.18904585813235</v>
      </c>
      <c r="M12" s="70">
        <f t="shared" si="0"/>
        <v>146.14849815103895</v>
      </c>
      <c r="N12" s="71">
        <f t="shared" si="0"/>
        <v>153.45592305859088</v>
      </c>
      <c r="O12" s="10">
        <f t="shared" si="0"/>
        <v>161.12871921152043</v>
      </c>
      <c r="P12" s="69">
        <f t="shared" si="0"/>
        <v>169.18515517209644</v>
      </c>
      <c r="Q12" s="10">
        <f t="shared" si="0"/>
        <v>177.64441293070126</v>
      </c>
      <c r="R12" s="69">
        <f t="shared" si="0"/>
        <v>186.52663357723634</v>
      </c>
      <c r="S12" s="70">
        <f t="shared" si="1"/>
        <v>195.85296525609814</v>
      </c>
      <c r="T12" s="11">
        <f t="shared" si="2"/>
        <v>205.64561351890305</v>
      </c>
      <c r="U12" s="12">
        <f t="shared" si="3"/>
        <v>215.92789419484819</v>
      </c>
      <c r="V12" s="13">
        <f t="shared" si="4"/>
        <v>226.72428890459059</v>
      </c>
      <c r="W12" s="12">
        <f t="shared" si="5"/>
        <v>238.06050334982012</v>
      </c>
      <c r="X12" s="13">
        <f t="shared" si="6"/>
        <v>249.96352851731112</v>
      </c>
      <c r="Y12" s="12">
        <f t="shared" si="7"/>
        <v>262.4617049431767</v>
      </c>
      <c r="Z12" s="14">
        <f t="shared" si="8"/>
        <v>275.58479019033553</v>
      </c>
    </row>
    <row r="13" spans="1:26" x14ac:dyDescent="0.2">
      <c r="A13" s="23">
        <v>35034</v>
      </c>
      <c r="B13" s="66">
        <v>85.45</v>
      </c>
      <c r="C13" s="10">
        <f t="shared" si="0"/>
        <v>89.722499999999997</v>
      </c>
      <c r="D13" s="69">
        <f t="shared" si="0"/>
        <v>94.208624999999998</v>
      </c>
      <c r="E13" s="10">
        <f t="shared" si="0"/>
        <v>98.919056249999997</v>
      </c>
      <c r="F13" s="69">
        <f t="shared" si="0"/>
        <v>103.86500906249999</v>
      </c>
      <c r="G13" s="70">
        <f t="shared" si="0"/>
        <v>109.058259515625</v>
      </c>
      <c r="H13" s="71">
        <f t="shared" si="0"/>
        <v>114.51117249140624</v>
      </c>
      <c r="I13" s="10">
        <f t="shared" si="0"/>
        <v>120.23673111597655</v>
      </c>
      <c r="J13" s="69">
        <f t="shared" si="0"/>
        <v>126.24856767177538</v>
      </c>
      <c r="K13" s="10">
        <f t="shared" si="0"/>
        <v>132.56099605536414</v>
      </c>
      <c r="L13" s="69">
        <f t="shared" si="0"/>
        <v>139.18904585813235</v>
      </c>
      <c r="M13" s="70">
        <f t="shared" si="0"/>
        <v>146.14849815103895</v>
      </c>
      <c r="N13" s="71">
        <f t="shared" si="0"/>
        <v>153.45592305859088</v>
      </c>
      <c r="O13" s="10">
        <f t="shared" si="0"/>
        <v>161.12871921152043</v>
      </c>
      <c r="P13" s="69">
        <f t="shared" si="0"/>
        <v>169.18515517209644</v>
      </c>
      <c r="Q13" s="10">
        <f t="shared" si="0"/>
        <v>177.64441293070126</v>
      </c>
      <c r="R13" s="69">
        <f t="shared" si="0"/>
        <v>186.52663357723634</v>
      </c>
      <c r="S13" s="70">
        <f t="shared" si="1"/>
        <v>195.85296525609814</v>
      </c>
      <c r="T13" s="11">
        <f t="shared" si="2"/>
        <v>205.64561351890305</v>
      </c>
      <c r="U13" s="12">
        <f t="shared" si="3"/>
        <v>215.92789419484819</v>
      </c>
      <c r="V13" s="13">
        <f t="shared" si="4"/>
        <v>226.72428890459059</v>
      </c>
      <c r="W13" s="12">
        <f t="shared" si="5"/>
        <v>238.06050334982012</v>
      </c>
      <c r="X13" s="13">
        <f t="shared" si="6"/>
        <v>249.96352851731112</v>
      </c>
      <c r="Y13" s="12">
        <f t="shared" si="7"/>
        <v>262.4617049431767</v>
      </c>
      <c r="Z13" s="14">
        <f t="shared" si="8"/>
        <v>275.58479019033553</v>
      </c>
    </row>
    <row r="14" spans="1:26" x14ac:dyDescent="0.2">
      <c r="A14" s="23">
        <v>35065</v>
      </c>
      <c r="B14" s="66">
        <v>85.45</v>
      </c>
      <c r="C14" s="10">
        <f t="shared" si="0"/>
        <v>89.722499999999997</v>
      </c>
      <c r="D14" s="69">
        <f t="shared" si="0"/>
        <v>94.208624999999998</v>
      </c>
      <c r="E14" s="10">
        <f t="shared" si="0"/>
        <v>98.919056249999997</v>
      </c>
      <c r="F14" s="69">
        <f t="shared" si="0"/>
        <v>103.86500906249999</v>
      </c>
      <c r="G14" s="70">
        <f t="shared" si="0"/>
        <v>109.058259515625</v>
      </c>
      <c r="H14" s="71">
        <f t="shared" si="0"/>
        <v>114.51117249140624</v>
      </c>
      <c r="I14" s="10">
        <f t="shared" si="0"/>
        <v>120.23673111597655</v>
      </c>
      <c r="J14" s="69">
        <f t="shared" si="0"/>
        <v>126.24856767177538</v>
      </c>
      <c r="K14" s="10">
        <f t="shared" si="0"/>
        <v>132.56099605536414</v>
      </c>
      <c r="L14" s="69">
        <f t="shared" si="0"/>
        <v>139.18904585813235</v>
      </c>
      <c r="M14" s="70">
        <f t="shared" si="0"/>
        <v>146.14849815103895</v>
      </c>
      <c r="N14" s="71">
        <f t="shared" si="0"/>
        <v>153.45592305859088</v>
      </c>
      <c r="O14" s="10">
        <f t="shared" si="0"/>
        <v>161.12871921152043</v>
      </c>
      <c r="P14" s="69">
        <f t="shared" si="0"/>
        <v>169.18515517209644</v>
      </c>
      <c r="Q14" s="10">
        <f t="shared" si="0"/>
        <v>177.64441293070126</v>
      </c>
      <c r="R14" s="69">
        <f t="shared" si="0"/>
        <v>186.52663357723634</v>
      </c>
      <c r="S14" s="70">
        <f t="shared" si="1"/>
        <v>195.85296525609814</v>
      </c>
      <c r="T14" s="11">
        <f t="shared" si="2"/>
        <v>205.64561351890305</v>
      </c>
      <c r="U14" s="12">
        <f t="shared" si="3"/>
        <v>215.92789419484819</v>
      </c>
      <c r="V14" s="13">
        <f t="shared" si="4"/>
        <v>226.72428890459059</v>
      </c>
      <c r="W14" s="12">
        <f t="shared" si="5"/>
        <v>238.06050334982012</v>
      </c>
      <c r="X14" s="13">
        <f t="shared" si="6"/>
        <v>249.96352851731112</v>
      </c>
      <c r="Y14" s="12">
        <f t="shared" si="7"/>
        <v>262.4617049431767</v>
      </c>
      <c r="Z14" s="14">
        <f t="shared" si="8"/>
        <v>275.58479019033553</v>
      </c>
    </row>
    <row r="15" spans="1:26" x14ac:dyDescent="0.2">
      <c r="A15" s="23">
        <v>35096</v>
      </c>
      <c r="B15" s="66">
        <v>85.45</v>
      </c>
      <c r="C15" s="10">
        <f t="shared" si="0"/>
        <v>89.722499999999997</v>
      </c>
      <c r="D15" s="69">
        <f t="shared" si="0"/>
        <v>94.208624999999998</v>
      </c>
      <c r="E15" s="10">
        <f t="shared" si="0"/>
        <v>98.919056249999997</v>
      </c>
      <c r="F15" s="69">
        <f t="shared" si="0"/>
        <v>103.86500906249999</v>
      </c>
      <c r="G15" s="70">
        <f t="shared" si="0"/>
        <v>109.058259515625</v>
      </c>
      <c r="H15" s="71">
        <f t="shared" si="0"/>
        <v>114.51117249140624</v>
      </c>
      <c r="I15" s="10">
        <f t="shared" si="0"/>
        <v>120.23673111597655</v>
      </c>
      <c r="J15" s="69">
        <f t="shared" si="0"/>
        <v>126.24856767177538</v>
      </c>
      <c r="K15" s="10">
        <f t="shared" si="0"/>
        <v>132.56099605536414</v>
      </c>
      <c r="L15" s="69">
        <f t="shared" si="0"/>
        <v>139.18904585813235</v>
      </c>
      <c r="M15" s="70">
        <f t="shared" si="0"/>
        <v>146.14849815103895</v>
      </c>
      <c r="N15" s="71">
        <f t="shared" si="0"/>
        <v>153.45592305859088</v>
      </c>
      <c r="O15" s="10">
        <f t="shared" si="0"/>
        <v>161.12871921152043</v>
      </c>
      <c r="P15" s="69">
        <f t="shared" si="0"/>
        <v>169.18515517209644</v>
      </c>
      <c r="Q15" s="10">
        <f t="shared" si="0"/>
        <v>177.64441293070126</v>
      </c>
      <c r="R15" s="69">
        <f t="shared" si="0"/>
        <v>186.52663357723634</v>
      </c>
      <c r="S15" s="70">
        <f t="shared" si="1"/>
        <v>195.85296525609814</v>
      </c>
      <c r="T15" s="11">
        <f t="shared" si="2"/>
        <v>205.64561351890305</v>
      </c>
      <c r="U15" s="12">
        <f t="shared" si="3"/>
        <v>215.92789419484819</v>
      </c>
      <c r="V15" s="13">
        <f t="shared" si="4"/>
        <v>226.72428890459059</v>
      </c>
      <c r="W15" s="12">
        <f t="shared" si="5"/>
        <v>238.06050334982012</v>
      </c>
      <c r="X15" s="13">
        <f t="shared" si="6"/>
        <v>249.96352851731112</v>
      </c>
      <c r="Y15" s="12">
        <f t="shared" si="7"/>
        <v>262.4617049431767</v>
      </c>
      <c r="Z15" s="14">
        <f t="shared" si="8"/>
        <v>275.58479019033553</v>
      </c>
    </row>
    <row r="16" spans="1:26" x14ac:dyDescent="0.2">
      <c r="A16" s="23">
        <v>35125</v>
      </c>
      <c r="B16" s="66">
        <v>85.45</v>
      </c>
      <c r="C16" s="10">
        <f t="shared" si="0"/>
        <v>89.722499999999997</v>
      </c>
      <c r="D16" s="69">
        <f t="shared" si="0"/>
        <v>94.208624999999998</v>
      </c>
      <c r="E16" s="10">
        <f t="shared" si="0"/>
        <v>98.919056249999997</v>
      </c>
      <c r="F16" s="69">
        <f t="shared" si="0"/>
        <v>103.86500906249999</v>
      </c>
      <c r="G16" s="70">
        <f t="shared" si="0"/>
        <v>109.058259515625</v>
      </c>
      <c r="H16" s="71">
        <f t="shared" si="0"/>
        <v>114.51117249140624</v>
      </c>
      <c r="I16" s="10">
        <f t="shared" si="0"/>
        <v>120.23673111597655</v>
      </c>
      <c r="J16" s="69">
        <f t="shared" si="0"/>
        <v>126.24856767177538</v>
      </c>
      <c r="K16" s="10">
        <f t="shared" si="0"/>
        <v>132.56099605536414</v>
      </c>
      <c r="L16" s="69">
        <f t="shared" si="0"/>
        <v>139.18904585813235</v>
      </c>
      <c r="M16" s="70">
        <f t="shared" si="0"/>
        <v>146.14849815103895</v>
      </c>
      <c r="N16" s="71">
        <f t="shared" si="0"/>
        <v>153.45592305859088</v>
      </c>
      <c r="O16" s="10">
        <f t="shared" si="0"/>
        <v>161.12871921152043</v>
      </c>
      <c r="P16" s="69">
        <f t="shared" si="0"/>
        <v>169.18515517209644</v>
      </c>
      <c r="Q16" s="10">
        <f t="shared" si="0"/>
        <v>177.64441293070126</v>
      </c>
      <c r="R16" s="69">
        <f t="shared" si="0"/>
        <v>186.52663357723634</v>
      </c>
      <c r="S16" s="70">
        <f t="shared" si="1"/>
        <v>195.85296525609814</v>
      </c>
      <c r="T16" s="11">
        <f t="shared" si="2"/>
        <v>205.64561351890305</v>
      </c>
      <c r="U16" s="12">
        <f t="shared" si="3"/>
        <v>215.92789419484819</v>
      </c>
      <c r="V16" s="13">
        <f t="shared" si="4"/>
        <v>226.72428890459059</v>
      </c>
      <c r="W16" s="12">
        <f t="shared" si="5"/>
        <v>238.06050334982012</v>
      </c>
      <c r="X16" s="13">
        <f t="shared" si="6"/>
        <v>249.96352851731112</v>
      </c>
      <c r="Y16" s="12">
        <f t="shared" si="7"/>
        <v>262.4617049431767</v>
      </c>
      <c r="Z16" s="14">
        <f t="shared" si="8"/>
        <v>275.58479019033553</v>
      </c>
    </row>
    <row r="17" spans="1:26" x14ac:dyDescent="0.2">
      <c r="A17" s="23">
        <v>35156</v>
      </c>
      <c r="B17" s="66">
        <v>85.45</v>
      </c>
      <c r="C17" s="10">
        <f t="shared" si="0"/>
        <v>89.722499999999997</v>
      </c>
      <c r="D17" s="69">
        <f t="shared" si="0"/>
        <v>94.208624999999998</v>
      </c>
      <c r="E17" s="10">
        <f t="shared" si="0"/>
        <v>98.919056249999997</v>
      </c>
      <c r="F17" s="69">
        <f t="shared" si="0"/>
        <v>103.86500906249999</v>
      </c>
      <c r="G17" s="70">
        <f t="shared" si="0"/>
        <v>109.058259515625</v>
      </c>
      <c r="H17" s="71">
        <f t="shared" si="0"/>
        <v>114.51117249140624</v>
      </c>
      <c r="I17" s="10">
        <f t="shared" si="0"/>
        <v>120.23673111597655</v>
      </c>
      <c r="J17" s="69">
        <f t="shared" si="0"/>
        <v>126.24856767177538</v>
      </c>
      <c r="K17" s="10">
        <f t="shared" si="0"/>
        <v>132.56099605536414</v>
      </c>
      <c r="L17" s="69">
        <f t="shared" si="0"/>
        <v>139.18904585813235</v>
      </c>
      <c r="M17" s="70">
        <f t="shared" si="0"/>
        <v>146.14849815103895</v>
      </c>
      <c r="N17" s="71">
        <f t="shared" si="0"/>
        <v>153.45592305859088</v>
      </c>
      <c r="O17" s="10">
        <f t="shared" si="0"/>
        <v>161.12871921152043</v>
      </c>
      <c r="P17" s="69">
        <f t="shared" si="0"/>
        <v>169.18515517209644</v>
      </c>
      <c r="Q17" s="10">
        <f t="shared" si="0"/>
        <v>177.64441293070126</v>
      </c>
      <c r="R17" s="69">
        <f t="shared" ref="C17:R33" si="9">(Q17*0.05)+Q17</f>
        <v>186.52663357723634</v>
      </c>
      <c r="S17" s="70">
        <f t="shared" si="1"/>
        <v>195.85296525609814</v>
      </c>
      <c r="T17" s="11">
        <f t="shared" si="2"/>
        <v>205.64561351890305</v>
      </c>
      <c r="U17" s="12">
        <f t="shared" si="3"/>
        <v>215.92789419484819</v>
      </c>
      <c r="V17" s="13">
        <f t="shared" si="4"/>
        <v>226.72428890459059</v>
      </c>
      <c r="W17" s="12">
        <f t="shared" si="5"/>
        <v>238.06050334982012</v>
      </c>
      <c r="X17" s="13">
        <f t="shared" si="6"/>
        <v>249.96352851731112</v>
      </c>
      <c r="Y17" s="12">
        <f t="shared" si="7"/>
        <v>262.4617049431767</v>
      </c>
      <c r="Z17" s="14">
        <f t="shared" si="8"/>
        <v>275.58479019033553</v>
      </c>
    </row>
    <row r="18" spans="1:26" x14ac:dyDescent="0.2">
      <c r="A18" s="23">
        <v>35186</v>
      </c>
      <c r="B18" s="66">
        <v>85.45</v>
      </c>
      <c r="C18" s="10">
        <f t="shared" si="9"/>
        <v>89.722499999999997</v>
      </c>
      <c r="D18" s="69">
        <f t="shared" si="9"/>
        <v>94.208624999999998</v>
      </c>
      <c r="E18" s="10">
        <f t="shared" si="9"/>
        <v>98.919056249999997</v>
      </c>
      <c r="F18" s="69">
        <f t="shared" si="9"/>
        <v>103.86500906249999</v>
      </c>
      <c r="G18" s="70">
        <f t="shared" si="9"/>
        <v>109.058259515625</v>
      </c>
      <c r="H18" s="71">
        <f t="shared" si="9"/>
        <v>114.51117249140624</v>
      </c>
      <c r="I18" s="10">
        <f t="shared" si="9"/>
        <v>120.23673111597655</v>
      </c>
      <c r="J18" s="69">
        <f t="shared" si="9"/>
        <v>126.24856767177538</v>
      </c>
      <c r="K18" s="10">
        <f t="shared" si="9"/>
        <v>132.56099605536414</v>
      </c>
      <c r="L18" s="69">
        <f t="shared" si="9"/>
        <v>139.18904585813235</v>
      </c>
      <c r="M18" s="70">
        <f t="shared" si="9"/>
        <v>146.14849815103895</v>
      </c>
      <c r="N18" s="71">
        <f t="shared" si="9"/>
        <v>153.45592305859088</v>
      </c>
      <c r="O18" s="10">
        <f t="shared" si="9"/>
        <v>161.12871921152043</v>
      </c>
      <c r="P18" s="69">
        <f t="shared" si="9"/>
        <v>169.18515517209644</v>
      </c>
      <c r="Q18" s="10">
        <f t="shared" si="9"/>
        <v>177.64441293070126</v>
      </c>
      <c r="R18" s="69">
        <f t="shared" si="9"/>
        <v>186.52663357723634</v>
      </c>
      <c r="S18" s="70">
        <f t="shared" si="1"/>
        <v>195.85296525609814</v>
      </c>
      <c r="T18" s="11">
        <f t="shared" si="2"/>
        <v>205.64561351890305</v>
      </c>
      <c r="U18" s="12">
        <f t="shared" si="3"/>
        <v>215.92789419484819</v>
      </c>
      <c r="V18" s="13">
        <f t="shared" si="4"/>
        <v>226.72428890459059</v>
      </c>
      <c r="W18" s="12">
        <f t="shared" si="5"/>
        <v>238.06050334982012</v>
      </c>
      <c r="X18" s="13">
        <f t="shared" si="6"/>
        <v>249.96352851731112</v>
      </c>
      <c r="Y18" s="12">
        <f t="shared" si="7"/>
        <v>262.4617049431767</v>
      </c>
      <c r="Z18" s="14">
        <f t="shared" si="8"/>
        <v>275.58479019033553</v>
      </c>
    </row>
    <row r="19" spans="1:26" x14ac:dyDescent="0.2">
      <c r="A19" s="23">
        <v>35217</v>
      </c>
      <c r="B19" s="66">
        <v>85.45</v>
      </c>
      <c r="C19" s="10">
        <f t="shared" si="9"/>
        <v>89.722499999999997</v>
      </c>
      <c r="D19" s="69">
        <f t="shared" si="9"/>
        <v>94.208624999999998</v>
      </c>
      <c r="E19" s="10">
        <f t="shared" si="9"/>
        <v>98.919056249999997</v>
      </c>
      <c r="F19" s="69">
        <f t="shared" si="9"/>
        <v>103.86500906249999</v>
      </c>
      <c r="G19" s="70">
        <f t="shared" si="9"/>
        <v>109.058259515625</v>
      </c>
      <c r="H19" s="71">
        <f t="shared" si="9"/>
        <v>114.51117249140624</v>
      </c>
      <c r="I19" s="10">
        <f t="shared" si="9"/>
        <v>120.23673111597655</v>
      </c>
      <c r="J19" s="69">
        <f t="shared" si="9"/>
        <v>126.24856767177538</v>
      </c>
      <c r="K19" s="10">
        <f t="shared" si="9"/>
        <v>132.56099605536414</v>
      </c>
      <c r="L19" s="69">
        <f t="shared" si="9"/>
        <v>139.18904585813235</v>
      </c>
      <c r="M19" s="70">
        <f t="shared" si="9"/>
        <v>146.14849815103895</v>
      </c>
      <c r="N19" s="71">
        <f t="shared" si="9"/>
        <v>153.45592305859088</v>
      </c>
      <c r="O19" s="10">
        <f t="shared" si="9"/>
        <v>161.12871921152043</v>
      </c>
      <c r="P19" s="69">
        <f t="shared" si="9"/>
        <v>169.18515517209644</v>
      </c>
      <c r="Q19" s="10">
        <f t="shared" si="9"/>
        <v>177.64441293070126</v>
      </c>
      <c r="R19" s="69">
        <f t="shared" si="9"/>
        <v>186.52663357723634</v>
      </c>
      <c r="S19" s="70">
        <f t="shared" si="1"/>
        <v>195.85296525609814</v>
      </c>
      <c r="T19" s="11">
        <f t="shared" si="2"/>
        <v>205.64561351890305</v>
      </c>
      <c r="U19" s="12">
        <f t="shared" si="3"/>
        <v>215.92789419484819</v>
      </c>
      <c r="V19" s="13">
        <f t="shared" si="4"/>
        <v>226.72428890459059</v>
      </c>
      <c r="W19" s="12">
        <f t="shared" si="5"/>
        <v>238.06050334982012</v>
      </c>
      <c r="X19" s="13">
        <f t="shared" si="6"/>
        <v>249.96352851731112</v>
      </c>
      <c r="Y19" s="12">
        <f t="shared" si="7"/>
        <v>262.4617049431767</v>
      </c>
      <c r="Z19" s="14">
        <f t="shared" si="8"/>
        <v>275.58479019033553</v>
      </c>
    </row>
    <row r="20" spans="1:26" x14ac:dyDescent="0.2">
      <c r="A20" s="23">
        <v>35247</v>
      </c>
      <c r="B20" s="66">
        <v>85.45</v>
      </c>
      <c r="C20" s="10">
        <f t="shared" si="9"/>
        <v>89.722499999999997</v>
      </c>
      <c r="D20" s="69">
        <f t="shared" si="9"/>
        <v>94.208624999999998</v>
      </c>
      <c r="E20" s="10">
        <f t="shared" si="9"/>
        <v>98.919056249999997</v>
      </c>
      <c r="F20" s="69">
        <f t="shared" si="9"/>
        <v>103.86500906249999</v>
      </c>
      <c r="G20" s="70">
        <f t="shared" si="9"/>
        <v>109.058259515625</v>
      </c>
      <c r="H20" s="71">
        <f t="shared" si="9"/>
        <v>114.51117249140624</v>
      </c>
      <c r="I20" s="10">
        <f t="shared" si="9"/>
        <v>120.23673111597655</v>
      </c>
      <c r="J20" s="69">
        <f t="shared" si="9"/>
        <v>126.24856767177538</v>
      </c>
      <c r="K20" s="10">
        <f t="shared" si="9"/>
        <v>132.56099605536414</v>
      </c>
      <c r="L20" s="69">
        <f t="shared" si="9"/>
        <v>139.18904585813235</v>
      </c>
      <c r="M20" s="70">
        <f t="shared" si="9"/>
        <v>146.14849815103895</v>
      </c>
      <c r="N20" s="71">
        <f t="shared" si="9"/>
        <v>153.45592305859088</v>
      </c>
      <c r="O20" s="10">
        <f t="shared" si="9"/>
        <v>161.12871921152043</v>
      </c>
      <c r="P20" s="69">
        <f t="shared" si="9"/>
        <v>169.18515517209644</v>
      </c>
      <c r="Q20" s="10">
        <f t="shared" si="9"/>
        <v>177.64441293070126</v>
      </c>
      <c r="R20" s="69">
        <f t="shared" si="9"/>
        <v>186.52663357723634</v>
      </c>
      <c r="S20" s="70">
        <f t="shared" si="1"/>
        <v>195.85296525609814</v>
      </c>
      <c r="T20" s="11">
        <f t="shared" si="2"/>
        <v>205.64561351890305</v>
      </c>
      <c r="U20" s="12">
        <f t="shared" si="3"/>
        <v>215.92789419484819</v>
      </c>
      <c r="V20" s="13">
        <f t="shared" si="4"/>
        <v>226.72428890459059</v>
      </c>
      <c r="W20" s="12">
        <f t="shared" si="5"/>
        <v>238.06050334982012</v>
      </c>
      <c r="X20" s="13">
        <f t="shared" si="6"/>
        <v>249.96352851731112</v>
      </c>
      <c r="Y20" s="12">
        <f t="shared" si="7"/>
        <v>262.4617049431767</v>
      </c>
      <c r="Z20" s="14">
        <f t="shared" si="8"/>
        <v>275.58479019033553</v>
      </c>
    </row>
    <row r="21" spans="1:26" x14ac:dyDescent="0.2">
      <c r="A21" s="23">
        <v>35278</v>
      </c>
      <c r="B21" s="66">
        <v>85.45</v>
      </c>
      <c r="C21" s="10">
        <f t="shared" si="9"/>
        <v>89.722499999999997</v>
      </c>
      <c r="D21" s="69">
        <f t="shared" si="9"/>
        <v>94.208624999999998</v>
      </c>
      <c r="E21" s="10">
        <f t="shared" si="9"/>
        <v>98.919056249999997</v>
      </c>
      <c r="F21" s="69">
        <f t="shared" si="9"/>
        <v>103.86500906249999</v>
      </c>
      <c r="G21" s="70">
        <f t="shared" si="9"/>
        <v>109.058259515625</v>
      </c>
      <c r="H21" s="71">
        <f t="shared" si="9"/>
        <v>114.51117249140624</v>
      </c>
      <c r="I21" s="10">
        <f t="shared" si="9"/>
        <v>120.23673111597655</v>
      </c>
      <c r="J21" s="69">
        <f t="shared" si="9"/>
        <v>126.24856767177538</v>
      </c>
      <c r="K21" s="10">
        <f t="shared" si="9"/>
        <v>132.56099605536414</v>
      </c>
      <c r="L21" s="69">
        <f t="shared" si="9"/>
        <v>139.18904585813235</v>
      </c>
      <c r="M21" s="70">
        <f t="shared" si="9"/>
        <v>146.14849815103895</v>
      </c>
      <c r="N21" s="71">
        <f t="shared" si="9"/>
        <v>153.45592305859088</v>
      </c>
      <c r="O21" s="10">
        <f t="shared" si="9"/>
        <v>161.12871921152043</v>
      </c>
      <c r="P21" s="69">
        <f t="shared" si="9"/>
        <v>169.18515517209644</v>
      </c>
      <c r="Q21" s="10">
        <f t="shared" si="9"/>
        <v>177.64441293070126</v>
      </c>
      <c r="R21" s="69">
        <f t="shared" si="9"/>
        <v>186.52663357723634</v>
      </c>
      <c r="S21" s="70">
        <f t="shared" si="1"/>
        <v>195.85296525609814</v>
      </c>
      <c r="T21" s="11">
        <f t="shared" si="2"/>
        <v>205.64561351890305</v>
      </c>
      <c r="U21" s="12">
        <f t="shared" si="3"/>
        <v>215.92789419484819</v>
      </c>
      <c r="V21" s="13">
        <f t="shared" si="4"/>
        <v>226.72428890459059</v>
      </c>
      <c r="W21" s="12">
        <f t="shared" si="5"/>
        <v>238.06050334982012</v>
      </c>
      <c r="X21" s="13">
        <f t="shared" si="6"/>
        <v>249.96352851731112</v>
      </c>
      <c r="Y21" s="12">
        <f t="shared" si="7"/>
        <v>262.4617049431767</v>
      </c>
      <c r="Z21" s="14">
        <f t="shared" si="8"/>
        <v>275.58479019033553</v>
      </c>
    </row>
    <row r="22" spans="1:26" x14ac:dyDescent="0.2">
      <c r="A22" s="23">
        <v>35309</v>
      </c>
      <c r="B22" s="66">
        <v>85.45</v>
      </c>
      <c r="C22" s="10">
        <f t="shared" si="9"/>
        <v>89.722499999999997</v>
      </c>
      <c r="D22" s="69">
        <f t="shared" si="9"/>
        <v>94.208624999999998</v>
      </c>
      <c r="E22" s="10">
        <f t="shared" si="9"/>
        <v>98.919056249999997</v>
      </c>
      <c r="F22" s="69">
        <f t="shared" si="9"/>
        <v>103.86500906249999</v>
      </c>
      <c r="G22" s="70">
        <f t="shared" si="9"/>
        <v>109.058259515625</v>
      </c>
      <c r="H22" s="71">
        <f t="shared" si="9"/>
        <v>114.51117249140624</v>
      </c>
      <c r="I22" s="10">
        <f t="shared" si="9"/>
        <v>120.23673111597655</v>
      </c>
      <c r="J22" s="69">
        <f t="shared" si="9"/>
        <v>126.24856767177538</v>
      </c>
      <c r="K22" s="10">
        <f t="shared" si="9"/>
        <v>132.56099605536414</v>
      </c>
      <c r="L22" s="69">
        <f t="shared" si="9"/>
        <v>139.18904585813235</v>
      </c>
      <c r="M22" s="70">
        <f t="shared" si="9"/>
        <v>146.14849815103895</v>
      </c>
      <c r="N22" s="71">
        <f t="shared" si="9"/>
        <v>153.45592305859088</v>
      </c>
      <c r="O22" s="10">
        <f t="shared" si="9"/>
        <v>161.12871921152043</v>
      </c>
      <c r="P22" s="69">
        <f t="shared" si="9"/>
        <v>169.18515517209644</v>
      </c>
      <c r="Q22" s="10">
        <f t="shared" si="9"/>
        <v>177.64441293070126</v>
      </c>
      <c r="R22" s="69">
        <f t="shared" si="9"/>
        <v>186.52663357723634</v>
      </c>
      <c r="S22" s="70">
        <f t="shared" si="1"/>
        <v>195.85296525609814</v>
      </c>
      <c r="T22" s="11">
        <f t="shared" si="2"/>
        <v>205.64561351890305</v>
      </c>
      <c r="U22" s="12">
        <f t="shared" si="3"/>
        <v>215.92789419484819</v>
      </c>
      <c r="V22" s="13">
        <f t="shared" si="4"/>
        <v>226.72428890459059</v>
      </c>
      <c r="W22" s="12">
        <f t="shared" si="5"/>
        <v>238.06050334982012</v>
      </c>
      <c r="X22" s="13">
        <f t="shared" si="6"/>
        <v>249.96352851731112</v>
      </c>
      <c r="Y22" s="12">
        <f t="shared" si="7"/>
        <v>262.4617049431767</v>
      </c>
      <c r="Z22" s="14">
        <f t="shared" si="8"/>
        <v>275.58479019033553</v>
      </c>
    </row>
    <row r="23" spans="1:26" x14ac:dyDescent="0.2">
      <c r="A23" s="23">
        <v>35339</v>
      </c>
      <c r="B23" s="66">
        <v>85.45</v>
      </c>
      <c r="C23" s="10">
        <f t="shared" si="9"/>
        <v>89.722499999999997</v>
      </c>
      <c r="D23" s="69">
        <f t="shared" si="9"/>
        <v>94.208624999999998</v>
      </c>
      <c r="E23" s="10">
        <f t="shared" si="9"/>
        <v>98.919056249999997</v>
      </c>
      <c r="F23" s="69">
        <f t="shared" si="9"/>
        <v>103.86500906249999</v>
      </c>
      <c r="G23" s="70">
        <f t="shared" si="9"/>
        <v>109.058259515625</v>
      </c>
      <c r="H23" s="71">
        <f t="shared" si="9"/>
        <v>114.51117249140624</v>
      </c>
      <c r="I23" s="10">
        <f t="shared" si="9"/>
        <v>120.23673111597655</v>
      </c>
      <c r="J23" s="69">
        <f t="shared" si="9"/>
        <v>126.24856767177538</v>
      </c>
      <c r="K23" s="10">
        <f t="shared" si="9"/>
        <v>132.56099605536414</v>
      </c>
      <c r="L23" s="69">
        <f t="shared" si="9"/>
        <v>139.18904585813235</v>
      </c>
      <c r="M23" s="70">
        <f t="shared" si="9"/>
        <v>146.14849815103895</v>
      </c>
      <c r="N23" s="71">
        <f t="shared" si="9"/>
        <v>153.45592305859088</v>
      </c>
      <c r="O23" s="10">
        <f t="shared" si="9"/>
        <v>161.12871921152043</v>
      </c>
      <c r="P23" s="69">
        <f t="shared" si="9"/>
        <v>169.18515517209644</v>
      </c>
      <c r="Q23" s="10">
        <f t="shared" si="9"/>
        <v>177.64441293070126</v>
      </c>
      <c r="R23" s="69">
        <f t="shared" si="9"/>
        <v>186.52663357723634</v>
      </c>
      <c r="S23" s="70">
        <f t="shared" si="1"/>
        <v>195.85296525609814</v>
      </c>
      <c r="T23" s="11">
        <f t="shared" si="2"/>
        <v>205.64561351890305</v>
      </c>
      <c r="U23" s="12">
        <f t="shared" si="3"/>
        <v>215.92789419484819</v>
      </c>
      <c r="V23" s="13">
        <f t="shared" si="4"/>
        <v>226.72428890459059</v>
      </c>
      <c r="W23" s="12">
        <f t="shared" si="5"/>
        <v>238.06050334982012</v>
      </c>
      <c r="X23" s="13">
        <f t="shared" si="6"/>
        <v>249.96352851731112</v>
      </c>
      <c r="Y23" s="12">
        <f t="shared" si="7"/>
        <v>262.4617049431767</v>
      </c>
      <c r="Z23" s="14">
        <f t="shared" si="8"/>
        <v>275.58479019033553</v>
      </c>
    </row>
    <row r="24" spans="1:26" x14ac:dyDescent="0.2">
      <c r="A24" s="23">
        <v>35370</v>
      </c>
      <c r="B24" s="66">
        <v>85.45</v>
      </c>
      <c r="C24" s="10">
        <f t="shared" si="9"/>
        <v>89.722499999999997</v>
      </c>
      <c r="D24" s="69">
        <f t="shared" si="9"/>
        <v>94.208624999999998</v>
      </c>
      <c r="E24" s="10">
        <f t="shared" si="9"/>
        <v>98.919056249999997</v>
      </c>
      <c r="F24" s="69">
        <f t="shared" si="9"/>
        <v>103.86500906249999</v>
      </c>
      <c r="G24" s="70">
        <f t="shared" si="9"/>
        <v>109.058259515625</v>
      </c>
      <c r="H24" s="71">
        <f t="shared" si="9"/>
        <v>114.51117249140624</v>
      </c>
      <c r="I24" s="10">
        <f t="shared" si="9"/>
        <v>120.23673111597655</v>
      </c>
      <c r="J24" s="69">
        <f t="shared" si="9"/>
        <v>126.24856767177538</v>
      </c>
      <c r="K24" s="10">
        <f t="shared" si="9"/>
        <v>132.56099605536414</v>
      </c>
      <c r="L24" s="69">
        <f t="shared" si="9"/>
        <v>139.18904585813235</v>
      </c>
      <c r="M24" s="70">
        <f t="shared" si="9"/>
        <v>146.14849815103895</v>
      </c>
      <c r="N24" s="71">
        <f t="shared" si="9"/>
        <v>153.45592305859088</v>
      </c>
      <c r="O24" s="10">
        <f t="shared" si="9"/>
        <v>161.12871921152043</v>
      </c>
      <c r="P24" s="69">
        <f t="shared" si="9"/>
        <v>169.18515517209644</v>
      </c>
      <c r="Q24" s="10">
        <f t="shared" si="9"/>
        <v>177.64441293070126</v>
      </c>
      <c r="R24" s="69">
        <f t="shared" si="9"/>
        <v>186.52663357723634</v>
      </c>
      <c r="S24" s="70">
        <f t="shared" si="1"/>
        <v>195.85296525609814</v>
      </c>
      <c r="T24" s="11">
        <f t="shared" si="2"/>
        <v>205.64561351890305</v>
      </c>
      <c r="U24" s="12">
        <f t="shared" si="3"/>
        <v>215.92789419484819</v>
      </c>
      <c r="V24" s="13">
        <f t="shared" si="4"/>
        <v>226.72428890459059</v>
      </c>
      <c r="W24" s="12">
        <f t="shared" si="5"/>
        <v>238.06050334982012</v>
      </c>
      <c r="X24" s="13">
        <f t="shared" si="6"/>
        <v>249.96352851731112</v>
      </c>
      <c r="Y24" s="12">
        <f t="shared" si="7"/>
        <v>262.4617049431767</v>
      </c>
      <c r="Z24" s="14">
        <f t="shared" si="8"/>
        <v>275.58479019033553</v>
      </c>
    </row>
    <row r="25" spans="1:26" x14ac:dyDescent="0.2">
      <c r="A25" s="23">
        <v>35400</v>
      </c>
      <c r="B25" s="66">
        <v>85.45</v>
      </c>
      <c r="C25" s="10">
        <f t="shared" si="9"/>
        <v>89.722499999999997</v>
      </c>
      <c r="D25" s="69">
        <f t="shared" si="9"/>
        <v>94.208624999999998</v>
      </c>
      <c r="E25" s="10">
        <f t="shared" si="9"/>
        <v>98.919056249999997</v>
      </c>
      <c r="F25" s="69">
        <f t="shared" si="9"/>
        <v>103.86500906249999</v>
      </c>
      <c r="G25" s="70">
        <f t="shared" si="9"/>
        <v>109.058259515625</v>
      </c>
      <c r="H25" s="71">
        <f t="shared" si="9"/>
        <v>114.51117249140624</v>
      </c>
      <c r="I25" s="10">
        <f t="shared" si="9"/>
        <v>120.23673111597655</v>
      </c>
      <c r="J25" s="69">
        <f t="shared" si="9"/>
        <v>126.24856767177538</v>
      </c>
      <c r="K25" s="10">
        <f t="shared" si="9"/>
        <v>132.56099605536414</v>
      </c>
      <c r="L25" s="69">
        <f t="shared" si="9"/>
        <v>139.18904585813235</v>
      </c>
      <c r="M25" s="70">
        <f t="shared" si="9"/>
        <v>146.14849815103895</v>
      </c>
      <c r="N25" s="71">
        <f t="shared" si="9"/>
        <v>153.45592305859088</v>
      </c>
      <c r="O25" s="10">
        <f t="shared" si="9"/>
        <v>161.12871921152043</v>
      </c>
      <c r="P25" s="69">
        <f t="shared" si="9"/>
        <v>169.18515517209644</v>
      </c>
      <c r="Q25" s="10">
        <f t="shared" si="9"/>
        <v>177.64441293070126</v>
      </c>
      <c r="R25" s="69">
        <f t="shared" si="9"/>
        <v>186.52663357723634</v>
      </c>
      <c r="S25" s="70">
        <f t="shared" si="1"/>
        <v>195.85296525609814</v>
      </c>
      <c r="T25" s="11">
        <f t="shared" si="2"/>
        <v>205.64561351890305</v>
      </c>
      <c r="U25" s="12">
        <f t="shared" si="3"/>
        <v>215.92789419484819</v>
      </c>
      <c r="V25" s="13">
        <f t="shared" si="4"/>
        <v>226.72428890459059</v>
      </c>
      <c r="W25" s="12">
        <f t="shared" si="5"/>
        <v>238.06050334982012</v>
      </c>
      <c r="X25" s="13">
        <f t="shared" si="6"/>
        <v>249.96352851731112</v>
      </c>
      <c r="Y25" s="12">
        <f t="shared" si="7"/>
        <v>262.4617049431767</v>
      </c>
      <c r="Z25" s="14">
        <f t="shared" si="8"/>
        <v>275.58479019033553</v>
      </c>
    </row>
    <row r="26" spans="1:26" x14ac:dyDescent="0.2">
      <c r="A26" s="23">
        <v>35431</v>
      </c>
      <c r="B26" s="66">
        <v>85.45</v>
      </c>
      <c r="C26" s="10">
        <f t="shared" si="9"/>
        <v>89.722499999999997</v>
      </c>
      <c r="D26" s="69">
        <f t="shared" si="9"/>
        <v>94.208624999999998</v>
      </c>
      <c r="E26" s="10">
        <f t="shared" si="9"/>
        <v>98.919056249999997</v>
      </c>
      <c r="F26" s="69">
        <f t="shared" si="9"/>
        <v>103.86500906249999</v>
      </c>
      <c r="G26" s="70">
        <f t="shared" si="9"/>
        <v>109.058259515625</v>
      </c>
      <c r="H26" s="71">
        <f t="shared" si="9"/>
        <v>114.51117249140624</v>
      </c>
      <c r="I26" s="10">
        <f t="shared" si="9"/>
        <v>120.23673111597655</v>
      </c>
      <c r="J26" s="69">
        <f t="shared" si="9"/>
        <v>126.24856767177538</v>
      </c>
      <c r="K26" s="10">
        <f t="shared" si="9"/>
        <v>132.56099605536414</v>
      </c>
      <c r="L26" s="69">
        <f t="shared" si="9"/>
        <v>139.18904585813235</v>
      </c>
      <c r="M26" s="70">
        <f t="shared" si="9"/>
        <v>146.14849815103895</v>
      </c>
      <c r="N26" s="71">
        <f t="shared" si="9"/>
        <v>153.45592305859088</v>
      </c>
      <c r="O26" s="10">
        <f t="shared" si="9"/>
        <v>161.12871921152043</v>
      </c>
      <c r="P26" s="69">
        <f t="shared" si="9"/>
        <v>169.18515517209644</v>
      </c>
      <c r="Q26" s="10">
        <f t="shared" si="9"/>
        <v>177.64441293070126</v>
      </c>
      <c r="R26" s="69">
        <f t="shared" si="9"/>
        <v>186.52663357723634</v>
      </c>
      <c r="S26" s="70">
        <f t="shared" si="1"/>
        <v>195.85296525609814</v>
      </c>
      <c r="T26" s="11">
        <f t="shared" si="2"/>
        <v>205.64561351890305</v>
      </c>
      <c r="U26" s="12">
        <f t="shared" si="3"/>
        <v>215.92789419484819</v>
      </c>
      <c r="V26" s="13">
        <f t="shared" si="4"/>
        <v>226.72428890459059</v>
      </c>
      <c r="W26" s="12">
        <f t="shared" si="5"/>
        <v>238.06050334982012</v>
      </c>
      <c r="X26" s="13">
        <f t="shared" si="6"/>
        <v>249.96352851731112</v>
      </c>
      <c r="Y26" s="12">
        <f t="shared" si="7"/>
        <v>262.4617049431767</v>
      </c>
      <c r="Z26" s="14">
        <f t="shared" si="8"/>
        <v>275.58479019033553</v>
      </c>
    </row>
    <row r="27" spans="1:26" x14ac:dyDescent="0.2">
      <c r="A27" s="23">
        <v>35462</v>
      </c>
      <c r="B27" s="66">
        <v>85.45</v>
      </c>
      <c r="C27" s="10">
        <f t="shared" si="9"/>
        <v>89.722499999999997</v>
      </c>
      <c r="D27" s="69">
        <f t="shared" si="9"/>
        <v>94.208624999999998</v>
      </c>
      <c r="E27" s="10">
        <f t="shared" si="9"/>
        <v>98.919056249999997</v>
      </c>
      <c r="F27" s="69">
        <f t="shared" si="9"/>
        <v>103.86500906249999</v>
      </c>
      <c r="G27" s="70">
        <f t="shared" si="9"/>
        <v>109.058259515625</v>
      </c>
      <c r="H27" s="71">
        <f t="shared" si="9"/>
        <v>114.51117249140624</v>
      </c>
      <c r="I27" s="10">
        <f t="shared" si="9"/>
        <v>120.23673111597655</v>
      </c>
      <c r="J27" s="69">
        <f t="shared" si="9"/>
        <v>126.24856767177538</v>
      </c>
      <c r="K27" s="10">
        <f t="shared" si="9"/>
        <v>132.56099605536414</v>
      </c>
      <c r="L27" s="69">
        <f t="shared" si="9"/>
        <v>139.18904585813235</v>
      </c>
      <c r="M27" s="70">
        <f t="shared" si="9"/>
        <v>146.14849815103895</v>
      </c>
      <c r="N27" s="71">
        <f t="shared" si="9"/>
        <v>153.45592305859088</v>
      </c>
      <c r="O27" s="10">
        <f t="shared" si="9"/>
        <v>161.12871921152043</v>
      </c>
      <c r="P27" s="69">
        <f t="shared" si="9"/>
        <v>169.18515517209644</v>
      </c>
      <c r="Q27" s="10">
        <f t="shared" si="9"/>
        <v>177.64441293070126</v>
      </c>
      <c r="R27" s="69">
        <f t="shared" si="9"/>
        <v>186.52663357723634</v>
      </c>
      <c r="S27" s="70">
        <f t="shared" si="1"/>
        <v>195.85296525609814</v>
      </c>
      <c r="T27" s="11">
        <f t="shared" si="2"/>
        <v>205.64561351890305</v>
      </c>
      <c r="U27" s="12">
        <f t="shared" si="3"/>
        <v>215.92789419484819</v>
      </c>
      <c r="V27" s="13">
        <f t="shared" si="4"/>
        <v>226.72428890459059</v>
      </c>
      <c r="W27" s="12">
        <f t="shared" si="5"/>
        <v>238.06050334982012</v>
      </c>
      <c r="X27" s="13">
        <f t="shared" si="6"/>
        <v>249.96352851731112</v>
      </c>
      <c r="Y27" s="12">
        <f t="shared" si="7"/>
        <v>262.4617049431767</v>
      </c>
      <c r="Z27" s="14">
        <f t="shared" si="8"/>
        <v>275.58479019033553</v>
      </c>
    </row>
    <row r="28" spans="1:26" x14ac:dyDescent="0.2">
      <c r="A28" s="23">
        <v>35490</v>
      </c>
      <c r="B28" s="66">
        <v>85.45</v>
      </c>
      <c r="C28" s="10">
        <f t="shared" si="9"/>
        <v>89.722499999999997</v>
      </c>
      <c r="D28" s="69">
        <f t="shared" si="9"/>
        <v>94.208624999999998</v>
      </c>
      <c r="E28" s="10">
        <f t="shared" si="9"/>
        <v>98.919056249999997</v>
      </c>
      <c r="F28" s="69">
        <f t="shared" si="9"/>
        <v>103.86500906249999</v>
      </c>
      <c r="G28" s="70">
        <f t="shared" si="9"/>
        <v>109.058259515625</v>
      </c>
      <c r="H28" s="71">
        <f t="shared" si="9"/>
        <v>114.51117249140624</v>
      </c>
      <c r="I28" s="10">
        <f t="shared" si="9"/>
        <v>120.23673111597655</v>
      </c>
      <c r="J28" s="69">
        <f t="shared" si="9"/>
        <v>126.24856767177538</v>
      </c>
      <c r="K28" s="10">
        <f t="shared" si="9"/>
        <v>132.56099605536414</v>
      </c>
      <c r="L28" s="69">
        <f t="shared" si="9"/>
        <v>139.18904585813235</v>
      </c>
      <c r="M28" s="70">
        <f t="shared" si="9"/>
        <v>146.14849815103895</v>
      </c>
      <c r="N28" s="71">
        <f t="shared" si="9"/>
        <v>153.45592305859088</v>
      </c>
      <c r="O28" s="10">
        <f t="shared" si="9"/>
        <v>161.12871921152043</v>
      </c>
      <c r="P28" s="69">
        <f t="shared" si="9"/>
        <v>169.18515517209644</v>
      </c>
      <c r="Q28" s="10">
        <f t="shared" si="9"/>
        <v>177.64441293070126</v>
      </c>
      <c r="R28" s="69">
        <f t="shared" si="9"/>
        <v>186.52663357723634</v>
      </c>
      <c r="S28" s="70">
        <f t="shared" si="1"/>
        <v>195.85296525609814</v>
      </c>
      <c r="T28" s="11">
        <f t="shared" si="2"/>
        <v>205.64561351890305</v>
      </c>
      <c r="U28" s="12">
        <f t="shared" si="3"/>
        <v>215.92789419484819</v>
      </c>
      <c r="V28" s="13">
        <f t="shared" si="4"/>
        <v>226.72428890459059</v>
      </c>
      <c r="W28" s="12">
        <f t="shared" si="5"/>
        <v>238.06050334982012</v>
      </c>
      <c r="X28" s="13">
        <f t="shared" si="6"/>
        <v>249.96352851731112</v>
      </c>
      <c r="Y28" s="12">
        <f t="shared" si="7"/>
        <v>262.4617049431767</v>
      </c>
      <c r="Z28" s="14">
        <f t="shared" si="8"/>
        <v>275.58479019033553</v>
      </c>
    </row>
    <row r="29" spans="1:26" x14ac:dyDescent="0.2">
      <c r="A29" s="23">
        <v>35521</v>
      </c>
      <c r="B29" s="66">
        <v>85.45</v>
      </c>
      <c r="C29" s="10">
        <f t="shared" si="9"/>
        <v>89.722499999999997</v>
      </c>
      <c r="D29" s="69">
        <f t="shared" si="9"/>
        <v>94.208624999999998</v>
      </c>
      <c r="E29" s="10">
        <f t="shared" si="9"/>
        <v>98.919056249999997</v>
      </c>
      <c r="F29" s="69">
        <f t="shared" si="9"/>
        <v>103.86500906249999</v>
      </c>
      <c r="G29" s="70">
        <f t="shared" si="9"/>
        <v>109.058259515625</v>
      </c>
      <c r="H29" s="71">
        <f t="shared" si="9"/>
        <v>114.51117249140624</v>
      </c>
      <c r="I29" s="10">
        <f t="shared" si="9"/>
        <v>120.23673111597655</v>
      </c>
      <c r="J29" s="69">
        <f t="shared" si="9"/>
        <v>126.24856767177538</v>
      </c>
      <c r="K29" s="10">
        <f t="shared" si="9"/>
        <v>132.56099605536414</v>
      </c>
      <c r="L29" s="69">
        <f t="shared" si="9"/>
        <v>139.18904585813235</v>
      </c>
      <c r="M29" s="70">
        <f t="shared" si="9"/>
        <v>146.14849815103895</v>
      </c>
      <c r="N29" s="71">
        <f t="shared" si="9"/>
        <v>153.45592305859088</v>
      </c>
      <c r="O29" s="10">
        <f t="shared" si="9"/>
        <v>161.12871921152043</v>
      </c>
      <c r="P29" s="69">
        <f t="shared" si="9"/>
        <v>169.18515517209644</v>
      </c>
      <c r="Q29" s="10">
        <f t="shared" si="9"/>
        <v>177.64441293070126</v>
      </c>
      <c r="R29" s="69">
        <f t="shared" si="9"/>
        <v>186.52663357723634</v>
      </c>
      <c r="S29" s="70">
        <f t="shared" si="1"/>
        <v>195.85296525609814</v>
      </c>
      <c r="T29" s="11">
        <f t="shared" si="2"/>
        <v>205.64561351890305</v>
      </c>
      <c r="U29" s="12">
        <f t="shared" si="3"/>
        <v>215.92789419484819</v>
      </c>
      <c r="V29" s="13">
        <f t="shared" si="4"/>
        <v>226.72428890459059</v>
      </c>
      <c r="W29" s="12">
        <f t="shared" si="5"/>
        <v>238.06050334982012</v>
      </c>
      <c r="X29" s="13">
        <f t="shared" si="6"/>
        <v>249.96352851731112</v>
      </c>
      <c r="Y29" s="12">
        <f t="shared" si="7"/>
        <v>262.4617049431767</v>
      </c>
      <c r="Z29" s="14">
        <f t="shared" si="8"/>
        <v>275.58479019033553</v>
      </c>
    </row>
    <row r="30" spans="1:26" x14ac:dyDescent="0.2">
      <c r="A30" s="23">
        <v>35551</v>
      </c>
      <c r="B30" s="71">
        <v>120</v>
      </c>
      <c r="C30" s="10">
        <f t="shared" si="9"/>
        <v>126</v>
      </c>
      <c r="D30" s="69">
        <f t="shared" si="9"/>
        <v>132.30000000000001</v>
      </c>
      <c r="E30" s="10">
        <f t="shared" si="9"/>
        <v>138.91500000000002</v>
      </c>
      <c r="F30" s="69">
        <f t="shared" si="9"/>
        <v>145.86075000000002</v>
      </c>
      <c r="G30" s="70">
        <f t="shared" si="9"/>
        <v>153.15378750000002</v>
      </c>
      <c r="H30" s="71">
        <f t="shared" si="9"/>
        <v>160.81147687500001</v>
      </c>
      <c r="I30" s="10">
        <f t="shared" si="9"/>
        <v>168.85205071875001</v>
      </c>
      <c r="J30" s="69">
        <f t="shared" si="9"/>
        <v>177.29465325468752</v>
      </c>
      <c r="K30" s="10">
        <f t="shared" si="9"/>
        <v>186.1593859174219</v>
      </c>
      <c r="L30" s="69">
        <f t="shared" si="9"/>
        <v>195.46735521329299</v>
      </c>
      <c r="M30" s="70">
        <f t="shared" si="9"/>
        <v>205.24072297395765</v>
      </c>
      <c r="N30" s="71">
        <f t="shared" si="9"/>
        <v>215.50275912265553</v>
      </c>
      <c r="O30" s="10">
        <f t="shared" si="9"/>
        <v>226.2778970787883</v>
      </c>
      <c r="P30" s="69">
        <f t="shared" si="9"/>
        <v>237.59179193272772</v>
      </c>
      <c r="Q30" s="10">
        <f t="shared" si="9"/>
        <v>249.47138152936409</v>
      </c>
      <c r="R30" s="69">
        <f t="shared" si="9"/>
        <v>261.94495060583228</v>
      </c>
      <c r="S30" s="70">
        <f t="shared" si="1"/>
        <v>275.04219813612389</v>
      </c>
      <c r="T30" s="11">
        <f t="shared" si="2"/>
        <v>288.79430804293008</v>
      </c>
      <c r="U30" s="12">
        <f t="shared" si="3"/>
        <v>303.23402344507656</v>
      </c>
      <c r="V30" s="13">
        <f t="shared" si="4"/>
        <v>318.39572461733042</v>
      </c>
      <c r="W30" s="12">
        <f t="shared" si="5"/>
        <v>334.31551084819694</v>
      </c>
      <c r="X30" s="13">
        <f t="shared" si="6"/>
        <v>351.03128639060679</v>
      </c>
      <c r="Y30" s="12">
        <f t="shared" si="7"/>
        <v>368.58285071013711</v>
      </c>
      <c r="Z30" s="14">
        <f t="shared" si="8"/>
        <v>387.01199324564396</v>
      </c>
    </row>
    <row r="31" spans="1:26" x14ac:dyDescent="0.2">
      <c r="A31" s="23">
        <v>35582</v>
      </c>
      <c r="B31" s="71">
        <v>120</v>
      </c>
      <c r="C31" s="10">
        <f t="shared" si="9"/>
        <v>126</v>
      </c>
      <c r="D31" s="69">
        <f t="shared" si="9"/>
        <v>132.30000000000001</v>
      </c>
      <c r="E31" s="10">
        <f t="shared" si="9"/>
        <v>138.91500000000002</v>
      </c>
      <c r="F31" s="69">
        <f t="shared" si="9"/>
        <v>145.86075000000002</v>
      </c>
      <c r="G31" s="70">
        <f t="shared" si="9"/>
        <v>153.15378750000002</v>
      </c>
      <c r="H31" s="71">
        <f t="shared" si="9"/>
        <v>160.81147687500001</v>
      </c>
      <c r="I31" s="10">
        <f t="shared" si="9"/>
        <v>168.85205071875001</v>
      </c>
      <c r="J31" s="69">
        <f t="shared" si="9"/>
        <v>177.29465325468752</v>
      </c>
      <c r="K31" s="10">
        <f t="shared" si="9"/>
        <v>186.1593859174219</v>
      </c>
      <c r="L31" s="69">
        <f t="shared" si="9"/>
        <v>195.46735521329299</v>
      </c>
      <c r="M31" s="70">
        <f t="shared" si="9"/>
        <v>205.24072297395765</v>
      </c>
      <c r="N31" s="71">
        <f t="shared" si="9"/>
        <v>215.50275912265553</v>
      </c>
      <c r="O31" s="10">
        <f t="shared" si="9"/>
        <v>226.2778970787883</v>
      </c>
      <c r="P31" s="69">
        <f t="shared" si="9"/>
        <v>237.59179193272772</v>
      </c>
      <c r="Q31" s="10">
        <f t="shared" si="9"/>
        <v>249.47138152936409</v>
      </c>
      <c r="R31" s="69">
        <f t="shared" si="9"/>
        <v>261.94495060583228</v>
      </c>
      <c r="S31" s="70">
        <f t="shared" si="1"/>
        <v>275.04219813612389</v>
      </c>
      <c r="T31" s="11">
        <f t="shared" si="2"/>
        <v>288.79430804293008</v>
      </c>
      <c r="U31" s="12">
        <f t="shared" si="3"/>
        <v>303.23402344507656</v>
      </c>
      <c r="V31" s="13">
        <f t="shared" si="4"/>
        <v>318.39572461733042</v>
      </c>
      <c r="W31" s="12">
        <f t="shared" si="5"/>
        <v>334.31551084819694</v>
      </c>
      <c r="X31" s="13">
        <f t="shared" si="6"/>
        <v>351.03128639060679</v>
      </c>
      <c r="Y31" s="12">
        <f t="shared" si="7"/>
        <v>368.58285071013711</v>
      </c>
      <c r="Z31" s="14">
        <f t="shared" si="8"/>
        <v>387.01199324564396</v>
      </c>
    </row>
    <row r="32" spans="1:26" x14ac:dyDescent="0.2">
      <c r="A32" s="23">
        <v>35612</v>
      </c>
      <c r="B32" s="71">
        <v>120</v>
      </c>
      <c r="C32" s="10">
        <f t="shared" si="9"/>
        <v>126</v>
      </c>
      <c r="D32" s="69">
        <f t="shared" si="9"/>
        <v>132.30000000000001</v>
      </c>
      <c r="E32" s="10">
        <f t="shared" si="9"/>
        <v>138.91500000000002</v>
      </c>
      <c r="F32" s="69">
        <f t="shared" si="9"/>
        <v>145.86075000000002</v>
      </c>
      <c r="G32" s="70">
        <f t="shared" si="9"/>
        <v>153.15378750000002</v>
      </c>
      <c r="H32" s="71">
        <f t="shared" si="9"/>
        <v>160.81147687500001</v>
      </c>
      <c r="I32" s="10">
        <f t="shared" si="9"/>
        <v>168.85205071875001</v>
      </c>
      <c r="J32" s="69">
        <f t="shared" si="9"/>
        <v>177.29465325468752</v>
      </c>
      <c r="K32" s="10">
        <f t="shared" si="9"/>
        <v>186.1593859174219</v>
      </c>
      <c r="L32" s="69">
        <f t="shared" si="9"/>
        <v>195.46735521329299</v>
      </c>
      <c r="M32" s="70">
        <f t="shared" si="9"/>
        <v>205.24072297395765</v>
      </c>
      <c r="N32" s="71">
        <f t="shared" si="9"/>
        <v>215.50275912265553</v>
      </c>
      <c r="O32" s="10">
        <f t="shared" si="9"/>
        <v>226.2778970787883</v>
      </c>
      <c r="P32" s="69">
        <f t="shared" si="9"/>
        <v>237.59179193272772</v>
      </c>
      <c r="Q32" s="10">
        <f t="shared" si="9"/>
        <v>249.47138152936409</v>
      </c>
      <c r="R32" s="69">
        <f t="shared" si="9"/>
        <v>261.94495060583228</v>
      </c>
      <c r="S32" s="70">
        <f t="shared" si="1"/>
        <v>275.04219813612389</v>
      </c>
      <c r="T32" s="11">
        <f t="shared" si="2"/>
        <v>288.79430804293008</v>
      </c>
      <c r="U32" s="12">
        <f t="shared" si="3"/>
        <v>303.23402344507656</v>
      </c>
      <c r="V32" s="13">
        <f t="shared" si="4"/>
        <v>318.39572461733042</v>
      </c>
      <c r="W32" s="12">
        <f t="shared" si="5"/>
        <v>334.31551084819694</v>
      </c>
      <c r="X32" s="13">
        <f t="shared" si="6"/>
        <v>351.03128639060679</v>
      </c>
      <c r="Y32" s="12">
        <f t="shared" si="7"/>
        <v>368.58285071013711</v>
      </c>
      <c r="Z32" s="14">
        <f t="shared" si="8"/>
        <v>387.01199324564396</v>
      </c>
    </row>
    <row r="33" spans="1:26" x14ac:dyDescent="0.2">
      <c r="A33" s="23">
        <v>35643</v>
      </c>
      <c r="B33" s="71">
        <v>120</v>
      </c>
      <c r="C33" s="10">
        <f t="shared" si="9"/>
        <v>126</v>
      </c>
      <c r="D33" s="69">
        <f t="shared" si="9"/>
        <v>132.30000000000001</v>
      </c>
      <c r="E33" s="10">
        <f t="shared" si="9"/>
        <v>138.91500000000002</v>
      </c>
      <c r="F33" s="69">
        <f t="shared" si="9"/>
        <v>145.86075000000002</v>
      </c>
      <c r="G33" s="70">
        <f t="shared" si="9"/>
        <v>153.15378750000002</v>
      </c>
      <c r="H33" s="71">
        <f t="shared" si="9"/>
        <v>160.81147687500001</v>
      </c>
      <c r="I33" s="10">
        <f t="shared" si="9"/>
        <v>168.85205071875001</v>
      </c>
      <c r="J33" s="69">
        <f t="shared" si="9"/>
        <v>177.29465325468752</v>
      </c>
      <c r="K33" s="10">
        <f t="shared" si="9"/>
        <v>186.1593859174219</v>
      </c>
      <c r="L33" s="69">
        <f t="shared" si="9"/>
        <v>195.46735521329299</v>
      </c>
      <c r="M33" s="70">
        <f t="shared" si="9"/>
        <v>205.24072297395765</v>
      </c>
      <c r="N33" s="71">
        <f t="shared" si="9"/>
        <v>215.50275912265553</v>
      </c>
      <c r="O33" s="10">
        <f t="shared" si="9"/>
        <v>226.2778970787883</v>
      </c>
      <c r="P33" s="69">
        <f t="shared" si="9"/>
        <v>237.59179193272772</v>
      </c>
      <c r="Q33" s="10">
        <f t="shared" ref="C33:R36" si="10">(P33*0.05)+P33</f>
        <v>249.47138152936409</v>
      </c>
      <c r="R33" s="69">
        <f t="shared" si="10"/>
        <v>261.94495060583228</v>
      </c>
      <c r="S33" s="70">
        <f t="shared" si="1"/>
        <v>275.04219813612389</v>
      </c>
      <c r="T33" s="11">
        <f t="shared" si="2"/>
        <v>288.79430804293008</v>
      </c>
      <c r="U33" s="12">
        <f t="shared" si="3"/>
        <v>303.23402344507656</v>
      </c>
      <c r="V33" s="13">
        <f t="shared" si="4"/>
        <v>318.39572461733042</v>
      </c>
      <c r="W33" s="12">
        <f t="shared" si="5"/>
        <v>334.31551084819694</v>
      </c>
      <c r="X33" s="13">
        <f t="shared" si="6"/>
        <v>351.03128639060679</v>
      </c>
      <c r="Y33" s="12">
        <f t="shared" si="7"/>
        <v>368.58285071013711</v>
      </c>
      <c r="Z33" s="14">
        <f t="shared" si="8"/>
        <v>387.01199324564396</v>
      </c>
    </row>
    <row r="34" spans="1:26" x14ac:dyDescent="0.2">
      <c r="A34" s="23">
        <v>35674</v>
      </c>
      <c r="B34" s="71">
        <v>120</v>
      </c>
      <c r="C34" s="10">
        <f t="shared" si="10"/>
        <v>126</v>
      </c>
      <c r="D34" s="69">
        <f t="shared" si="10"/>
        <v>132.30000000000001</v>
      </c>
      <c r="E34" s="10">
        <f t="shared" si="10"/>
        <v>138.91500000000002</v>
      </c>
      <c r="F34" s="69">
        <f t="shared" si="10"/>
        <v>145.86075000000002</v>
      </c>
      <c r="G34" s="70">
        <f t="shared" si="10"/>
        <v>153.15378750000002</v>
      </c>
      <c r="H34" s="71">
        <f t="shared" si="10"/>
        <v>160.81147687500001</v>
      </c>
      <c r="I34" s="10">
        <f t="shared" si="10"/>
        <v>168.85205071875001</v>
      </c>
      <c r="J34" s="69">
        <f t="shared" si="10"/>
        <v>177.29465325468752</v>
      </c>
      <c r="K34" s="10">
        <f t="shared" si="10"/>
        <v>186.1593859174219</v>
      </c>
      <c r="L34" s="69">
        <f t="shared" si="10"/>
        <v>195.46735521329299</v>
      </c>
      <c r="M34" s="70">
        <f t="shared" si="10"/>
        <v>205.24072297395765</v>
      </c>
      <c r="N34" s="71">
        <f t="shared" si="10"/>
        <v>215.50275912265553</v>
      </c>
      <c r="O34" s="10">
        <f t="shared" si="10"/>
        <v>226.2778970787883</v>
      </c>
      <c r="P34" s="69">
        <f t="shared" si="10"/>
        <v>237.59179193272772</v>
      </c>
      <c r="Q34" s="10">
        <f t="shared" si="10"/>
        <v>249.47138152936409</v>
      </c>
      <c r="R34" s="69">
        <f t="shared" si="10"/>
        <v>261.94495060583228</v>
      </c>
      <c r="S34" s="70">
        <f t="shared" si="1"/>
        <v>275.04219813612389</v>
      </c>
      <c r="T34" s="11">
        <f t="shared" si="2"/>
        <v>288.79430804293008</v>
      </c>
      <c r="U34" s="12">
        <f t="shared" si="3"/>
        <v>303.23402344507656</v>
      </c>
      <c r="V34" s="13">
        <f t="shared" si="4"/>
        <v>318.39572461733042</v>
      </c>
      <c r="W34" s="12">
        <f t="shared" si="5"/>
        <v>334.31551084819694</v>
      </c>
      <c r="X34" s="13">
        <f t="shared" si="6"/>
        <v>351.03128639060679</v>
      </c>
      <c r="Y34" s="12">
        <f t="shared" si="7"/>
        <v>368.58285071013711</v>
      </c>
      <c r="Z34" s="14">
        <f t="shared" si="8"/>
        <v>387.01199324564396</v>
      </c>
    </row>
    <row r="35" spans="1:26" x14ac:dyDescent="0.2">
      <c r="A35" s="23">
        <v>35704</v>
      </c>
      <c r="B35" s="71">
        <v>120</v>
      </c>
      <c r="C35" s="10">
        <f t="shared" si="10"/>
        <v>126</v>
      </c>
      <c r="D35" s="69">
        <f t="shared" si="10"/>
        <v>132.30000000000001</v>
      </c>
      <c r="E35" s="10">
        <f t="shared" si="10"/>
        <v>138.91500000000002</v>
      </c>
      <c r="F35" s="69">
        <f t="shared" si="10"/>
        <v>145.86075000000002</v>
      </c>
      <c r="G35" s="70">
        <f t="shared" si="10"/>
        <v>153.15378750000002</v>
      </c>
      <c r="H35" s="71">
        <f t="shared" si="10"/>
        <v>160.81147687500001</v>
      </c>
      <c r="I35" s="10">
        <f t="shared" si="10"/>
        <v>168.85205071875001</v>
      </c>
      <c r="J35" s="69">
        <f t="shared" si="10"/>
        <v>177.29465325468752</v>
      </c>
      <c r="K35" s="10">
        <f t="shared" si="10"/>
        <v>186.1593859174219</v>
      </c>
      <c r="L35" s="69">
        <f t="shared" si="10"/>
        <v>195.46735521329299</v>
      </c>
      <c r="M35" s="70">
        <f t="shared" si="10"/>
        <v>205.24072297395765</v>
      </c>
      <c r="N35" s="71">
        <f t="shared" si="10"/>
        <v>215.50275912265553</v>
      </c>
      <c r="O35" s="10">
        <f t="shared" si="10"/>
        <v>226.2778970787883</v>
      </c>
      <c r="P35" s="69">
        <f t="shared" si="10"/>
        <v>237.59179193272772</v>
      </c>
      <c r="Q35" s="10">
        <f t="shared" si="10"/>
        <v>249.47138152936409</v>
      </c>
      <c r="R35" s="69">
        <f t="shared" si="10"/>
        <v>261.94495060583228</v>
      </c>
      <c r="S35" s="70">
        <f t="shared" si="1"/>
        <v>275.04219813612389</v>
      </c>
      <c r="T35" s="11">
        <f t="shared" si="2"/>
        <v>288.79430804293008</v>
      </c>
      <c r="U35" s="12">
        <f t="shared" si="3"/>
        <v>303.23402344507656</v>
      </c>
      <c r="V35" s="13">
        <f t="shared" si="4"/>
        <v>318.39572461733042</v>
      </c>
      <c r="W35" s="12">
        <f t="shared" si="5"/>
        <v>334.31551084819694</v>
      </c>
      <c r="X35" s="13">
        <f t="shared" si="6"/>
        <v>351.03128639060679</v>
      </c>
      <c r="Y35" s="12">
        <f t="shared" si="7"/>
        <v>368.58285071013711</v>
      </c>
      <c r="Z35" s="14">
        <f t="shared" si="8"/>
        <v>387.01199324564396</v>
      </c>
    </row>
    <row r="36" spans="1:26" x14ac:dyDescent="0.2">
      <c r="A36" s="23">
        <v>35735</v>
      </c>
      <c r="B36" s="71">
        <v>120</v>
      </c>
      <c r="C36" s="10">
        <f t="shared" si="10"/>
        <v>126</v>
      </c>
      <c r="D36" s="69">
        <f t="shared" si="10"/>
        <v>132.30000000000001</v>
      </c>
      <c r="E36" s="10">
        <f t="shared" si="10"/>
        <v>138.91500000000002</v>
      </c>
      <c r="F36" s="69">
        <f t="shared" si="10"/>
        <v>145.86075000000002</v>
      </c>
      <c r="G36" s="70">
        <f t="shared" si="10"/>
        <v>153.15378750000002</v>
      </c>
      <c r="H36" s="71">
        <f t="shared" si="10"/>
        <v>160.81147687500001</v>
      </c>
      <c r="I36" s="10">
        <f t="shared" si="10"/>
        <v>168.85205071875001</v>
      </c>
      <c r="J36" s="69">
        <f t="shared" si="10"/>
        <v>177.29465325468752</v>
      </c>
      <c r="K36" s="10">
        <f t="shared" si="10"/>
        <v>186.1593859174219</v>
      </c>
      <c r="L36" s="69">
        <f t="shared" si="10"/>
        <v>195.46735521329299</v>
      </c>
      <c r="M36" s="70">
        <f t="shared" si="10"/>
        <v>205.24072297395765</v>
      </c>
      <c r="N36" s="71">
        <f t="shared" si="10"/>
        <v>215.50275912265553</v>
      </c>
      <c r="O36" s="10">
        <f t="shared" si="10"/>
        <v>226.2778970787883</v>
      </c>
      <c r="P36" s="69">
        <f t="shared" si="10"/>
        <v>237.59179193272772</v>
      </c>
      <c r="Q36" s="10">
        <f t="shared" si="10"/>
        <v>249.47138152936409</v>
      </c>
      <c r="R36" s="69">
        <f t="shared" si="10"/>
        <v>261.94495060583228</v>
      </c>
      <c r="S36" s="70">
        <f t="shared" si="1"/>
        <v>275.04219813612389</v>
      </c>
      <c r="T36" s="11">
        <f t="shared" si="2"/>
        <v>288.79430804293008</v>
      </c>
      <c r="U36" s="12">
        <f t="shared" si="3"/>
        <v>303.23402344507656</v>
      </c>
      <c r="V36" s="13">
        <f t="shared" si="4"/>
        <v>318.39572461733042</v>
      </c>
      <c r="W36" s="12">
        <f t="shared" si="5"/>
        <v>334.31551084819694</v>
      </c>
      <c r="X36" s="13">
        <f t="shared" si="6"/>
        <v>351.03128639060679</v>
      </c>
      <c r="Y36" s="12">
        <f t="shared" si="7"/>
        <v>368.58285071013711</v>
      </c>
      <c r="Z36" s="14">
        <f t="shared" si="8"/>
        <v>387.01199324564396</v>
      </c>
    </row>
    <row r="37" spans="1:26" x14ac:dyDescent="0.2">
      <c r="A37" s="23">
        <v>35765</v>
      </c>
      <c r="B37" s="71">
        <v>120</v>
      </c>
      <c r="C37" s="10">
        <f t="shared" ref="C37:R52" si="11">(B37*0.05)+B37</f>
        <v>126</v>
      </c>
      <c r="D37" s="69">
        <f t="shared" si="11"/>
        <v>132.30000000000001</v>
      </c>
      <c r="E37" s="10">
        <f t="shared" si="11"/>
        <v>138.91500000000002</v>
      </c>
      <c r="F37" s="69">
        <f t="shared" si="11"/>
        <v>145.86075000000002</v>
      </c>
      <c r="G37" s="70">
        <f t="shared" si="11"/>
        <v>153.15378750000002</v>
      </c>
      <c r="H37" s="71">
        <f t="shared" si="11"/>
        <v>160.81147687500001</v>
      </c>
      <c r="I37" s="10">
        <f t="shared" si="11"/>
        <v>168.85205071875001</v>
      </c>
      <c r="J37" s="69">
        <f t="shared" si="11"/>
        <v>177.29465325468752</v>
      </c>
      <c r="K37" s="10">
        <f t="shared" si="11"/>
        <v>186.1593859174219</v>
      </c>
      <c r="L37" s="69">
        <f t="shared" si="11"/>
        <v>195.46735521329299</v>
      </c>
      <c r="M37" s="70">
        <f t="shared" si="11"/>
        <v>205.24072297395765</v>
      </c>
      <c r="N37" s="71">
        <f t="shared" si="11"/>
        <v>215.50275912265553</v>
      </c>
      <c r="O37" s="10">
        <f t="shared" si="11"/>
        <v>226.2778970787883</v>
      </c>
      <c r="P37" s="69">
        <f t="shared" si="11"/>
        <v>237.59179193272772</v>
      </c>
      <c r="Q37" s="10">
        <f t="shared" si="11"/>
        <v>249.47138152936409</v>
      </c>
      <c r="R37" s="69">
        <f t="shared" si="11"/>
        <v>261.94495060583228</v>
      </c>
      <c r="S37" s="70">
        <f t="shared" ref="S37:Z51" si="12">(R37*0.05)+R37</f>
        <v>275.04219813612389</v>
      </c>
      <c r="T37" s="11">
        <f t="shared" si="12"/>
        <v>288.79430804293008</v>
      </c>
      <c r="U37" s="12">
        <f t="shared" si="12"/>
        <v>303.23402344507656</v>
      </c>
      <c r="V37" s="13">
        <f t="shared" si="12"/>
        <v>318.39572461733042</v>
      </c>
      <c r="W37" s="12">
        <f t="shared" si="12"/>
        <v>334.31551084819694</v>
      </c>
      <c r="X37" s="13">
        <f t="shared" si="12"/>
        <v>351.03128639060679</v>
      </c>
      <c r="Y37" s="12">
        <f t="shared" si="12"/>
        <v>368.58285071013711</v>
      </c>
      <c r="Z37" s="14">
        <f t="shared" si="12"/>
        <v>387.01199324564396</v>
      </c>
    </row>
    <row r="38" spans="1:26" x14ac:dyDescent="0.2">
      <c r="A38" s="23">
        <v>35796</v>
      </c>
      <c r="B38" s="71">
        <v>120</v>
      </c>
      <c r="C38" s="10">
        <f t="shared" si="11"/>
        <v>126</v>
      </c>
      <c r="D38" s="69">
        <f t="shared" si="11"/>
        <v>132.30000000000001</v>
      </c>
      <c r="E38" s="10">
        <f t="shared" si="11"/>
        <v>138.91500000000002</v>
      </c>
      <c r="F38" s="69">
        <f t="shared" si="11"/>
        <v>145.86075000000002</v>
      </c>
      <c r="G38" s="70">
        <f t="shared" si="11"/>
        <v>153.15378750000002</v>
      </c>
      <c r="H38" s="71">
        <f t="shared" si="11"/>
        <v>160.81147687500001</v>
      </c>
      <c r="I38" s="10">
        <f t="shared" si="11"/>
        <v>168.85205071875001</v>
      </c>
      <c r="J38" s="69">
        <f t="shared" si="11"/>
        <v>177.29465325468752</v>
      </c>
      <c r="K38" s="10">
        <f t="shared" si="11"/>
        <v>186.1593859174219</v>
      </c>
      <c r="L38" s="69">
        <f t="shared" si="11"/>
        <v>195.46735521329299</v>
      </c>
      <c r="M38" s="70">
        <f t="shared" si="11"/>
        <v>205.24072297395765</v>
      </c>
      <c r="N38" s="71">
        <f t="shared" si="11"/>
        <v>215.50275912265553</v>
      </c>
      <c r="O38" s="10">
        <f t="shared" si="11"/>
        <v>226.2778970787883</v>
      </c>
      <c r="P38" s="69">
        <f t="shared" si="11"/>
        <v>237.59179193272772</v>
      </c>
      <c r="Q38" s="10">
        <f t="shared" si="11"/>
        <v>249.47138152936409</v>
      </c>
      <c r="R38" s="69">
        <f t="shared" si="11"/>
        <v>261.94495060583228</v>
      </c>
      <c r="S38" s="70">
        <f t="shared" si="12"/>
        <v>275.04219813612389</v>
      </c>
      <c r="T38" s="11">
        <f t="shared" si="12"/>
        <v>288.79430804293008</v>
      </c>
      <c r="U38" s="12">
        <f t="shared" si="12"/>
        <v>303.23402344507656</v>
      </c>
      <c r="V38" s="13">
        <f t="shared" si="12"/>
        <v>318.39572461733042</v>
      </c>
      <c r="W38" s="12">
        <f t="shared" si="12"/>
        <v>334.31551084819694</v>
      </c>
      <c r="X38" s="13">
        <f t="shared" si="12"/>
        <v>351.03128639060679</v>
      </c>
      <c r="Y38" s="12">
        <f t="shared" si="12"/>
        <v>368.58285071013711</v>
      </c>
      <c r="Z38" s="14">
        <f t="shared" si="12"/>
        <v>387.01199324564396</v>
      </c>
    </row>
    <row r="39" spans="1:26" x14ac:dyDescent="0.2">
      <c r="A39" s="23">
        <v>35827</v>
      </c>
      <c r="B39" s="71">
        <v>157.5</v>
      </c>
      <c r="C39" s="10">
        <f t="shared" si="11"/>
        <v>165.375</v>
      </c>
      <c r="D39" s="69">
        <f t="shared" si="11"/>
        <v>173.64375000000001</v>
      </c>
      <c r="E39" s="10">
        <f t="shared" si="11"/>
        <v>182.32593750000001</v>
      </c>
      <c r="F39" s="69">
        <f t="shared" si="11"/>
        <v>191.442234375</v>
      </c>
      <c r="G39" s="70">
        <f t="shared" si="11"/>
        <v>201.01434609374999</v>
      </c>
      <c r="H39" s="71">
        <f t="shared" si="11"/>
        <v>211.0650633984375</v>
      </c>
      <c r="I39" s="10">
        <f t="shared" si="11"/>
        <v>221.61831656835938</v>
      </c>
      <c r="J39" s="69">
        <f t="shared" si="11"/>
        <v>232.69923239677735</v>
      </c>
      <c r="K39" s="10">
        <f t="shared" si="11"/>
        <v>244.33419401661621</v>
      </c>
      <c r="L39" s="69">
        <f t="shared" si="11"/>
        <v>256.550903717447</v>
      </c>
      <c r="M39" s="70">
        <f t="shared" si="11"/>
        <v>269.37844890331934</v>
      </c>
      <c r="N39" s="71">
        <f t="shared" si="11"/>
        <v>282.8473713484853</v>
      </c>
      <c r="O39" s="10">
        <f t="shared" si="11"/>
        <v>296.98973991590958</v>
      </c>
      <c r="P39" s="69">
        <f t="shared" si="11"/>
        <v>311.83922691170505</v>
      </c>
      <c r="Q39" s="10">
        <f t="shared" si="11"/>
        <v>327.43118825729033</v>
      </c>
      <c r="R39" s="69">
        <f t="shared" si="11"/>
        <v>343.80274767015487</v>
      </c>
      <c r="S39" s="70">
        <f t="shared" si="12"/>
        <v>360.99288505366263</v>
      </c>
      <c r="T39" s="11">
        <f t="shared" si="12"/>
        <v>379.04252930634578</v>
      </c>
      <c r="U39" s="12">
        <f t="shared" si="12"/>
        <v>397.99465577166308</v>
      </c>
      <c r="V39" s="13">
        <f t="shared" si="12"/>
        <v>417.89438856024623</v>
      </c>
      <c r="W39" s="12">
        <f t="shared" si="12"/>
        <v>438.78910798825854</v>
      </c>
      <c r="X39" s="13">
        <f t="shared" si="12"/>
        <v>460.72856338767144</v>
      </c>
      <c r="Y39" s="12">
        <f t="shared" si="12"/>
        <v>483.764991557055</v>
      </c>
      <c r="Z39" s="14">
        <f t="shared" si="12"/>
        <v>507.95324113490773</v>
      </c>
    </row>
    <row r="40" spans="1:26" x14ac:dyDescent="0.2">
      <c r="A40" s="23">
        <v>35855</v>
      </c>
      <c r="B40" s="71">
        <v>157.5</v>
      </c>
      <c r="C40" s="10">
        <f t="shared" si="11"/>
        <v>165.375</v>
      </c>
      <c r="D40" s="69">
        <f t="shared" si="11"/>
        <v>173.64375000000001</v>
      </c>
      <c r="E40" s="10">
        <f t="shared" si="11"/>
        <v>182.32593750000001</v>
      </c>
      <c r="F40" s="69">
        <f t="shared" si="11"/>
        <v>191.442234375</v>
      </c>
      <c r="G40" s="70">
        <f t="shared" si="11"/>
        <v>201.01434609374999</v>
      </c>
      <c r="H40" s="71">
        <f t="shared" si="11"/>
        <v>211.0650633984375</v>
      </c>
      <c r="I40" s="10">
        <f t="shared" si="11"/>
        <v>221.61831656835938</v>
      </c>
      <c r="J40" s="69">
        <f t="shared" si="11"/>
        <v>232.69923239677735</v>
      </c>
      <c r="K40" s="10">
        <f t="shared" si="11"/>
        <v>244.33419401661621</v>
      </c>
      <c r="L40" s="69">
        <f t="shared" si="11"/>
        <v>256.550903717447</v>
      </c>
      <c r="M40" s="70">
        <f t="shared" si="11"/>
        <v>269.37844890331934</v>
      </c>
      <c r="N40" s="71">
        <f t="shared" si="11"/>
        <v>282.8473713484853</v>
      </c>
      <c r="O40" s="10">
        <f t="shared" si="11"/>
        <v>296.98973991590958</v>
      </c>
      <c r="P40" s="69">
        <f t="shared" si="11"/>
        <v>311.83922691170505</v>
      </c>
      <c r="Q40" s="10">
        <f t="shared" si="11"/>
        <v>327.43118825729033</v>
      </c>
      <c r="R40" s="69">
        <f t="shared" si="11"/>
        <v>343.80274767015487</v>
      </c>
      <c r="S40" s="70">
        <f t="shared" si="12"/>
        <v>360.99288505366263</v>
      </c>
      <c r="T40" s="11">
        <f t="shared" si="12"/>
        <v>379.04252930634578</v>
      </c>
      <c r="U40" s="12">
        <f t="shared" si="12"/>
        <v>397.99465577166308</v>
      </c>
      <c r="V40" s="13">
        <f t="shared" si="12"/>
        <v>417.89438856024623</v>
      </c>
      <c r="W40" s="12">
        <f t="shared" si="12"/>
        <v>438.78910798825854</v>
      </c>
      <c r="X40" s="13">
        <f t="shared" si="12"/>
        <v>460.72856338767144</v>
      </c>
      <c r="Y40" s="12">
        <f t="shared" si="12"/>
        <v>483.764991557055</v>
      </c>
      <c r="Z40" s="14">
        <f t="shared" si="12"/>
        <v>507.95324113490773</v>
      </c>
    </row>
    <row r="41" spans="1:26" x14ac:dyDescent="0.2">
      <c r="A41" s="23">
        <v>35886</v>
      </c>
      <c r="B41" s="71">
        <v>157.5</v>
      </c>
      <c r="C41" s="10">
        <f t="shared" si="11"/>
        <v>165.375</v>
      </c>
      <c r="D41" s="69">
        <f t="shared" si="11"/>
        <v>173.64375000000001</v>
      </c>
      <c r="E41" s="10">
        <f t="shared" si="11"/>
        <v>182.32593750000001</v>
      </c>
      <c r="F41" s="69">
        <f t="shared" si="11"/>
        <v>191.442234375</v>
      </c>
      <c r="G41" s="70">
        <f t="shared" si="11"/>
        <v>201.01434609374999</v>
      </c>
      <c r="H41" s="71">
        <f t="shared" si="11"/>
        <v>211.0650633984375</v>
      </c>
      <c r="I41" s="10">
        <f t="shared" si="11"/>
        <v>221.61831656835938</v>
      </c>
      <c r="J41" s="69">
        <f t="shared" si="11"/>
        <v>232.69923239677735</v>
      </c>
      <c r="K41" s="10">
        <f t="shared" si="11"/>
        <v>244.33419401661621</v>
      </c>
      <c r="L41" s="69">
        <f t="shared" si="11"/>
        <v>256.550903717447</v>
      </c>
      <c r="M41" s="70">
        <f t="shared" si="11"/>
        <v>269.37844890331934</v>
      </c>
      <c r="N41" s="71">
        <f t="shared" si="11"/>
        <v>282.8473713484853</v>
      </c>
      <c r="O41" s="10">
        <f t="shared" si="11"/>
        <v>296.98973991590958</v>
      </c>
      <c r="P41" s="69">
        <f t="shared" si="11"/>
        <v>311.83922691170505</v>
      </c>
      <c r="Q41" s="10">
        <f t="shared" si="11"/>
        <v>327.43118825729033</v>
      </c>
      <c r="R41" s="69">
        <f t="shared" si="11"/>
        <v>343.80274767015487</v>
      </c>
      <c r="S41" s="70">
        <f t="shared" si="12"/>
        <v>360.99288505366263</v>
      </c>
      <c r="T41" s="11">
        <f t="shared" si="12"/>
        <v>379.04252930634578</v>
      </c>
      <c r="U41" s="12">
        <f t="shared" si="12"/>
        <v>397.99465577166308</v>
      </c>
      <c r="V41" s="13">
        <f t="shared" si="12"/>
        <v>417.89438856024623</v>
      </c>
      <c r="W41" s="12">
        <f t="shared" si="12"/>
        <v>438.78910798825854</v>
      </c>
      <c r="X41" s="13">
        <f t="shared" si="12"/>
        <v>460.72856338767144</v>
      </c>
      <c r="Y41" s="12">
        <f t="shared" si="12"/>
        <v>483.764991557055</v>
      </c>
      <c r="Z41" s="14">
        <f t="shared" si="12"/>
        <v>507.95324113490773</v>
      </c>
    </row>
    <row r="42" spans="1:26" x14ac:dyDescent="0.2">
      <c r="A42" s="23">
        <v>35916</v>
      </c>
      <c r="B42" s="71">
        <v>157.5</v>
      </c>
      <c r="C42" s="10">
        <f t="shared" si="11"/>
        <v>165.375</v>
      </c>
      <c r="D42" s="69">
        <f t="shared" si="11"/>
        <v>173.64375000000001</v>
      </c>
      <c r="E42" s="10">
        <f t="shared" si="11"/>
        <v>182.32593750000001</v>
      </c>
      <c r="F42" s="69">
        <f t="shared" si="11"/>
        <v>191.442234375</v>
      </c>
      <c r="G42" s="70">
        <f t="shared" si="11"/>
        <v>201.01434609374999</v>
      </c>
      <c r="H42" s="71">
        <f t="shared" si="11"/>
        <v>211.0650633984375</v>
      </c>
      <c r="I42" s="10">
        <f t="shared" si="11"/>
        <v>221.61831656835938</v>
      </c>
      <c r="J42" s="69">
        <f t="shared" si="11"/>
        <v>232.69923239677735</v>
      </c>
      <c r="K42" s="10">
        <f t="shared" si="11"/>
        <v>244.33419401661621</v>
      </c>
      <c r="L42" s="69">
        <f t="shared" si="11"/>
        <v>256.550903717447</v>
      </c>
      <c r="M42" s="70">
        <f t="shared" si="11"/>
        <v>269.37844890331934</v>
      </c>
      <c r="N42" s="71">
        <f t="shared" si="11"/>
        <v>282.8473713484853</v>
      </c>
      <c r="O42" s="10">
        <f t="shared" si="11"/>
        <v>296.98973991590958</v>
      </c>
      <c r="P42" s="69">
        <f t="shared" si="11"/>
        <v>311.83922691170505</v>
      </c>
      <c r="Q42" s="10">
        <f t="shared" si="11"/>
        <v>327.43118825729033</v>
      </c>
      <c r="R42" s="69">
        <f t="shared" si="11"/>
        <v>343.80274767015487</v>
      </c>
      <c r="S42" s="70">
        <f t="shared" si="12"/>
        <v>360.99288505366263</v>
      </c>
      <c r="T42" s="11">
        <f t="shared" si="12"/>
        <v>379.04252930634578</v>
      </c>
      <c r="U42" s="12">
        <f t="shared" si="12"/>
        <v>397.99465577166308</v>
      </c>
      <c r="V42" s="13">
        <f t="shared" si="12"/>
        <v>417.89438856024623</v>
      </c>
      <c r="W42" s="12">
        <f t="shared" si="12"/>
        <v>438.78910798825854</v>
      </c>
      <c r="X42" s="13">
        <f t="shared" si="12"/>
        <v>460.72856338767144</v>
      </c>
      <c r="Y42" s="12">
        <f t="shared" si="12"/>
        <v>483.764991557055</v>
      </c>
      <c r="Z42" s="14">
        <f t="shared" si="12"/>
        <v>507.95324113490773</v>
      </c>
    </row>
    <row r="43" spans="1:26" x14ac:dyDescent="0.2">
      <c r="A43" s="23">
        <v>35947</v>
      </c>
      <c r="B43" s="71">
        <v>157.5</v>
      </c>
      <c r="C43" s="10">
        <f t="shared" si="11"/>
        <v>165.375</v>
      </c>
      <c r="D43" s="69">
        <f t="shared" si="11"/>
        <v>173.64375000000001</v>
      </c>
      <c r="E43" s="10">
        <f t="shared" si="11"/>
        <v>182.32593750000001</v>
      </c>
      <c r="F43" s="69">
        <f t="shared" si="11"/>
        <v>191.442234375</v>
      </c>
      <c r="G43" s="70">
        <f t="shared" si="11"/>
        <v>201.01434609374999</v>
      </c>
      <c r="H43" s="71">
        <f t="shared" si="11"/>
        <v>211.0650633984375</v>
      </c>
      <c r="I43" s="10">
        <f t="shared" si="11"/>
        <v>221.61831656835938</v>
      </c>
      <c r="J43" s="69">
        <f t="shared" si="11"/>
        <v>232.69923239677735</v>
      </c>
      <c r="K43" s="10">
        <f t="shared" si="11"/>
        <v>244.33419401661621</v>
      </c>
      <c r="L43" s="69">
        <f t="shared" si="11"/>
        <v>256.550903717447</v>
      </c>
      <c r="M43" s="70">
        <f t="shared" si="11"/>
        <v>269.37844890331934</v>
      </c>
      <c r="N43" s="71">
        <f t="shared" si="11"/>
        <v>282.8473713484853</v>
      </c>
      <c r="O43" s="10">
        <f t="shared" si="11"/>
        <v>296.98973991590958</v>
      </c>
      <c r="P43" s="69">
        <f t="shared" si="11"/>
        <v>311.83922691170505</v>
      </c>
      <c r="Q43" s="10">
        <f t="shared" si="11"/>
        <v>327.43118825729033</v>
      </c>
      <c r="R43" s="69">
        <f t="shared" si="11"/>
        <v>343.80274767015487</v>
      </c>
      <c r="S43" s="70">
        <f t="shared" si="12"/>
        <v>360.99288505366263</v>
      </c>
      <c r="T43" s="11">
        <f t="shared" si="12"/>
        <v>379.04252930634578</v>
      </c>
      <c r="U43" s="12">
        <f t="shared" si="12"/>
        <v>397.99465577166308</v>
      </c>
      <c r="V43" s="13">
        <f t="shared" si="12"/>
        <v>417.89438856024623</v>
      </c>
      <c r="W43" s="12">
        <f t="shared" si="12"/>
        <v>438.78910798825854</v>
      </c>
      <c r="X43" s="13">
        <f t="shared" si="12"/>
        <v>460.72856338767144</v>
      </c>
      <c r="Y43" s="12">
        <f t="shared" si="12"/>
        <v>483.764991557055</v>
      </c>
      <c r="Z43" s="14">
        <f t="shared" si="12"/>
        <v>507.95324113490773</v>
      </c>
    </row>
    <row r="44" spans="1:26" x14ac:dyDescent="0.2">
      <c r="A44" s="23">
        <v>35977</v>
      </c>
      <c r="B44" s="71">
        <v>157.5</v>
      </c>
      <c r="C44" s="10">
        <f t="shared" si="11"/>
        <v>165.375</v>
      </c>
      <c r="D44" s="69">
        <f t="shared" si="11"/>
        <v>173.64375000000001</v>
      </c>
      <c r="E44" s="10">
        <f t="shared" si="11"/>
        <v>182.32593750000001</v>
      </c>
      <c r="F44" s="69">
        <f t="shared" si="11"/>
        <v>191.442234375</v>
      </c>
      <c r="G44" s="70">
        <f t="shared" si="11"/>
        <v>201.01434609374999</v>
      </c>
      <c r="H44" s="71">
        <f t="shared" si="11"/>
        <v>211.0650633984375</v>
      </c>
      <c r="I44" s="10">
        <f t="shared" si="11"/>
        <v>221.61831656835938</v>
      </c>
      <c r="J44" s="69">
        <f t="shared" si="11"/>
        <v>232.69923239677735</v>
      </c>
      <c r="K44" s="10">
        <f t="shared" si="11"/>
        <v>244.33419401661621</v>
      </c>
      <c r="L44" s="69">
        <f t="shared" si="11"/>
        <v>256.550903717447</v>
      </c>
      <c r="M44" s="70">
        <f t="shared" si="11"/>
        <v>269.37844890331934</v>
      </c>
      <c r="N44" s="71">
        <f t="shared" si="11"/>
        <v>282.8473713484853</v>
      </c>
      <c r="O44" s="10">
        <f t="shared" si="11"/>
        <v>296.98973991590958</v>
      </c>
      <c r="P44" s="69">
        <f t="shared" si="11"/>
        <v>311.83922691170505</v>
      </c>
      <c r="Q44" s="10">
        <f t="shared" si="11"/>
        <v>327.43118825729033</v>
      </c>
      <c r="R44" s="69">
        <f t="shared" si="11"/>
        <v>343.80274767015487</v>
      </c>
      <c r="S44" s="70">
        <f t="shared" si="12"/>
        <v>360.99288505366263</v>
      </c>
      <c r="T44" s="11">
        <f t="shared" si="12"/>
        <v>379.04252930634578</v>
      </c>
      <c r="U44" s="12">
        <f t="shared" si="12"/>
        <v>397.99465577166308</v>
      </c>
      <c r="V44" s="13">
        <f t="shared" si="12"/>
        <v>417.89438856024623</v>
      </c>
      <c r="W44" s="12">
        <f t="shared" si="12"/>
        <v>438.78910798825854</v>
      </c>
      <c r="X44" s="13">
        <f t="shared" si="12"/>
        <v>460.72856338767144</v>
      </c>
      <c r="Y44" s="12">
        <f t="shared" si="12"/>
        <v>483.764991557055</v>
      </c>
      <c r="Z44" s="14">
        <f t="shared" si="12"/>
        <v>507.95324113490773</v>
      </c>
    </row>
    <row r="45" spans="1:26" x14ac:dyDescent="0.2">
      <c r="A45" s="23">
        <v>36008</v>
      </c>
      <c r="B45" s="71">
        <v>157.5</v>
      </c>
      <c r="C45" s="10">
        <f t="shared" si="11"/>
        <v>165.375</v>
      </c>
      <c r="D45" s="69">
        <f t="shared" si="11"/>
        <v>173.64375000000001</v>
      </c>
      <c r="E45" s="10">
        <f t="shared" si="11"/>
        <v>182.32593750000001</v>
      </c>
      <c r="F45" s="69">
        <f t="shared" si="11"/>
        <v>191.442234375</v>
      </c>
      <c r="G45" s="70">
        <f t="shared" si="11"/>
        <v>201.01434609374999</v>
      </c>
      <c r="H45" s="71">
        <f t="shared" si="11"/>
        <v>211.0650633984375</v>
      </c>
      <c r="I45" s="10">
        <f t="shared" si="11"/>
        <v>221.61831656835938</v>
      </c>
      <c r="J45" s="69">
        <f t="shared" si="11"/>
        <v>232.69923239677735</v>
      </c>
      <c r="K45" s="10">
        <f t="shared" si="11"/>
        <v>244.33419401661621</v>
      </c>
      <c r="L45" s="69">
        <f t="shared" si="11"/>
        <v>256.550903717447</v>
      </c>
      <c r="M45" s="70">
        <f t="shared" si="11"/>
        <v>269.37844890331934</v>
      </c>
      <c r="N45" s="71">
        <f t="shared" si="11"/>
        <v>282.8473713484853</v>
      </c>
      <c r="O45" s="10">
        <f t="shared" si="11"/>
        <v>296.98973991590958</v>
      </c>
      <c r="P45" s="69">
        <f t="shared" si="11"/>
        <v>311.83922691170505</v>
      </c>
      <c r="Q45" s="10">
        <f t="shared" si="11"/>
        <v>327.43118825729033</v>
      </c>
      <c r="R45" s="69">
        <f t="shared" si="11"/>
        <v>343.80274767015487</v>
      </c>
      <c r="S45" s="70">
        <f t="shared" si="12"/>
        <v>360.99288505366263</v>
      </c>
      <c r="T45" s="11">
        <f t="shared" si="12"/>
        <v>379.04252930634578</v>
      </c>
      <c r="U45" s="12">
        <f t="shared" si="12"/>
        <v>397.99465577166308</v>
      </c>
      <c r="V45" s="13">
        <f t="shared" si="12"/>
        <v>417.89438856024623</v>
      </c>
      <c r="W45" s="12">
        <f t="shared" si="12"/>
        <v>438.78910798825854</v>
      </c>
      <c r="X45" s="13">
        <f t="shared" si="12"/>
        <v>460.72856338767144</v>
      </c>
      <c r="Y45" s="12">
        <f t="shared" si="12"/>
        <v>483.764991557055</v>
      </c>
      <c r="Z45" s="14">
        <f t="shared" si="12"/>
        <v>507.95324113490773</v>
      </c>
    </row>
    <row r="46" spans="1:26" x14ac:dyDescent="0.2">
      <c r="A46" s="23">
        <v>36039</v>
      </c>
      <c r="B46" s="71">
        <v>157.5</v>
      </c>
      <c r="C46" s="10">
        <f t="shared" si="11"/>
        <v>165.375</v>
      </c>
      <c r="D46" s="69">
        <f t="shared" si="11"/>
        <v>173.64375000000001</v>
      </c>
      <c r="E46" s="10">
        <f t="shared" si="11"/>
        <v>182.32593750000001</v>
      </c>
      <c r="F46" s="69">
        <f t="shared" si="11"/>
        <v>191.442234375</v>
      </c>
      <c r="G46" s="70">
        <f t="shared" si="11"/>
        <v>201.01434609374999</v>
      </c>
      <c r="H46" s="71">
        <f t="shared" si="11"/>
        <v>211.0650633984375</v>
      </c>
      <c r="I46" s="10">
        <f t="shared" si="11"/>
        <v>221.61831656835938</v>
      </c>
      <c r="J46" s="69">
        <f t="shared" si="11"/>
        <v>232.69923239677735</v>
      </c>
      <c r="K46" s="10">
        <f t="shared" si="11"/>
        <v>244.33419401661621</v>
      </c>
      <c r="L46" s="69">
        <f t="shared" si="11"/>
        <v>256.550903717447</v>
      </c>
      <c r="M46" s="70">
        <f t="shared" si="11"/>
        <v>269.37844890331934</v>
      </c>
      <c r="N46" s="71">
        <f t="shared" si="11"/>
        <v>282.8473713484853</v>
      </c>
      <c r="O46" s="10">
        <f t="shared" si="11"/>
        <v>296.98973991590958</v>
      </c>
      <c r="P46" s="69">
        <f t="shared" si="11"/>
        <v>311.83922691170505</v>
      </c>
      <c r="Q46" s="10">
        <f t="shared" si="11"/>
        <v>327.43118825729033</v>
      </c>
      <c r="R46" s="69">
        <f t="shared" si="11"/>
        <v>343.80274767015487</v>
      </c>
      <c r="S46" s="70">
        <f t="shared" si="12"/>
        <v>360.99288505366263</v>
      </c>
      <c r="T46" s="11">
        <f t="shared" si="12"/>
        <v>379.04252930634578</v>
      </c>
      <c r="U46" s="12">
        <f t="shared" si="12"/>
        <v>397.99465577166308</v>
      </c>
      <c r="V46" s="13">
        <f t="shared" si="12"/>
        <v>417.89438856024623</v>
      </c>
      <c r="W46" s="12">
        <f t="shared" si="12"/>
        <v>438.78910798825854</v>
      </c>
      <c r="X46" s="13">
        <f t="shared" si="12"/>
        <v>460.72856338767144</v>
      </c>
      <c r="Y46" s="12">
        <f t="shared" si="12"/>
        <v>483.764991557055</v>
      </c>
      <c r="Z46" s="14">
        <f t="shared" si="12"/>
        <v>507.95324113490773</v>
      </c>
    </row>
    <row r="47" spans="1:26" x14ac:dyDescent="0.2">
      <c r="A47" s="23">
        <v>36069</v>
      </c>
      <c r="B47" s="71">
        <v>157.5</v>
      </c>
      <c r="C47" s="10">
        <f t="shared" si="11"/>
        <v>165.375</v>
      </c>
      <c r="D47" s="69">
        <f t="shared" si="11"/>
        <v>173.64375000000001</v>
      </c>
      <c r="E47" s="10">
        <f t="shared" si="11"/>
        <v>182.32593750000001</v>
      </c>
      <c r="F47" s="69">
        <f t="shared" si="11"/>
        <v>191.442234375</v>
      </c>
      <c r="G47" s="70">
        <f t="shared" si="11"/>
        <v>201.01434609374999</v>
      </c>
      <c r="H47" s="71">
        <f t="shared" si="11"/>
        <v>211.0650633984375</v>
      </c>
      <c r="I47" s="10">
        <f t="shared" si="11"/>
        <v>221.61831656835938</v>
      </c>
      <c r="J47" s="69">
        <f t="shared" si="11"/>
        <v>232.69923239677735</v>
      </c>
      <c r="K47" s="10">
        <f t="shared" si="11"/>
        <v>244.33419401661621</v>
      </c>
      <c r="L47" s="69">
        <f t="shared" si="11"/>
        <v>256.550903717447</v>
      </c>
      <c r="M47" s="70">
        <f t="shared" si="11"/>
        <v>269.37844890331934</v>
      </c>
      <c r="N47" s="71">
        <f t="shared" si="11"/>
        <v>282.8473713484853</v>
      </c>
      <c r="O47" s="10">
        <f t="shared" si="11"/>
        <v>296.98973991590958</v>
      </c>
      <c r="P47" s="69">
        <f t="shared" si="11"/>
        <v>311.83922691170505</v>
      </c>
      <c r="Q47" s="10">
        <f t="shared" si="11"/>
        <v>327.43118825729033</v>
      </c>
      <c r="R47" s="69">
        <f t="shared" si="11"/>
        <v>343.80274767015487</v>
      </c>
      <c r="S47" s="70">
        <f t="shared" si="12"/>
        <v>360.99288505366263</v>
      </c>
      <c r="T47" s="11">
        <f t="shared" si="12"/>
        <v>379.04252930634578</v>
      </c>
      <c r="U47" s="12">
        <f t="shared" si="12"/>
        <v>397.99465577166308</v>
      </c>
      <c r="V47" s="13">
        <f t="shared" si="12"/>
        <v>417.89438856024623</v>
      </c>
      <c r="W47" s="12">
        <f t="shared" si="12"/>
        <v>438.78910798825854</v>
      </c>
      <c r="X47" s="13">
        <f t="shared" si="12"/>
        <v>460.72856338767144</v>
      </c>
      <c r="Y47" s="12">
        <f t="shared" si="12"/>
        <v>483.764991557055</v>
      </c>
      <c r="Z47" s="14">
        <f t="shared" si="12"/>
        <v>507.95324113490773</v>
      </c>
    </row>
    <row r="48" spans="1:26" x14ac:dyDescent="0.2">
      <c r="A48" s="23">
        <v>36100</v>
      </c>
      <c r="B48" s="71">
        <v>157.5</v>
      </c>
      <c r="C48" s="10">
        <f t="shared" si="11"/>
        <v>165.375</v>
      </c>
      <c r="D48" s="69">
        <f t="shared" si="11"/>
        <v>173.64375000000001</v>
      </c>
      <c r="E48" s="10">
        <f t="shared" si="11"/>
        <v>182.32593750000001</v>
      </c>
      <c r="F48" s="69">
        <f t="shared" si="11"/>
        <v>191.442234375</v>
      </c>
      <c r="G48" s="70">
        <f t="shared" si="11"/>
        <v>201.01434609374999</v>
      </c>
      <c r="H48" s="71">
        <f t="shared" si="11"/>
        <v>211.0650633984375</v>
      </c>
      <c r="I48" s="10">
        <f t="shared" si="11"/>
        <v>221.61831656835938</v>
      </c>
      <c r="J48" s="69">
        <f t="shared" si="11"/>
        <v>232.69923239677735</v>
      </c>
      <c r="K48" s="10">
        <f t="shared" si="11"/>
        <v>244.33419401661621</v>
      </c>
      <c r="L48" s="69">
        <f t="shared" si="11"/>
        <v>256.550903717447</v>
      </c>
      <c r="M48" s="70">
        <f t="shared" si="11"/>
        <v>269.37844890331934</v>
      </c>
      <c r="N48" s="71">
        <f t="shared" si="11"/>
        <v>282.8473713484853</v>
      </c>
      <c r="O48" s="10">
        <f t="shared" si="11"/>
        <v>296.98973991590958</v>
      </c>
      <c r="P48" s="69">
        <f t="shared" si="11"/>
        <v>311.83922691170505</v>
      </c>
      <c r="Q48" s="10">
        <f t="shared" si="11"/>
        <v>327.43118825729033</v>
      </c>
      <c r="R48" s="69">
        <f t="shared" si="11"/>
        <v>343.80274767015487</v>
      </c>
      <c r="S48" s="70">
        <f t="shared" si="12"/>
        <v>360.99288505366263</v>
      </c>
      <c r="T48" s="11">
        <f t="shared" si="12"/>
        <v>379.04252930634578</v>
      </c>
      <c r="U48" s="12">
        <f t="shared" si="12"/>
        <v>397.99465577166308</v>
      </c>
      <c r="V48" s="13">
        <f t="shared" si="12"/>
        <v>417.89438856024623</v>
      </c>
      <c r="W48" s="12">
        <f t="shared" si="12"/>
        <v>438.78910798825854</v>
      </c>
      <c r="X48" s="13">
        <f t="shared" si="12"/>
        <v>460.72856338767144</v>
      </c>
      <c r="Y48" s="12">
        <f t="shared" si="12"/>
        <v>483.764991557055</v>
      </c>
      <c r="Z48" s="14">
        <f t="shared" si="12"/>
        <v>507.95324113490773</v>
      </c>
    </row>
    <row r="49" spans="1:26" x14ac:dyDescent="0.2">
      <c r="A49" s="23">
        <v>36130</v>
      </c>
      <c r="B49" s="71">
        <v>157.5</v>
      </c>
      <c r="C49" s="10">
        <f t="shared" si="11"/>
        <v>165.375</v>
      </c>
      <c r="D49" s="69">
        <f t="shared" si="11"/>
        <v>173.64375000000001</v>
      </c>
      <c r="E49" s="10">
        <f t="shared" si="11"/>
        <v>182.32593750000001</v>
      </c>
      <c r="F49" s="69">
        <f t="shared" si="11"/>
        <v>191.442234375</v>
      </c>
      <c r="G49" s="70">
        <f t="shared" si="11"/>
        <v>201.01434609374999</v>
      </c>
      <c r="H49" s="71">
        <f t="shared" si="11"/>
        <v>211.0650633984375</v>
      </c>
      <c r="I49" s="10">
        <f t="shared" si="11"/>
        <v>221.61831656835938</v>
      </c>
      <c r="J49" s="69">
        <f t="shared" si="11"/>
        <v>232.69923239677735</v>
      </c>
      <c r="K49" s="10">
        <f t="shared" si="11"/>
        <v>244.33419401661621</v>
      </c>
      <c r="L49" s="69">
        <f t="shared" si="11"/>
        <v>256.550903717447</v>
      </c>
      <c r="M49" s="70">
        <f t="shared" si="11"/>
        <v>269.37844890331934</v>
      </c>
      <c r="N49" s="71">
        <f t="shared" si="11"/>
        <v>282.8473713484853</v>
      </c>
      <c r="O49" s="10">
        <f t="shared" si="11"/>
        <v>296.98973991590958</v>
      </c>
      <c r="P49" s="69">
        <f t="shared" si="11"/>
        <v>311.83922691170505</v>
      </c>
      <c r="Q49" s="10">
        <f t="shared" si="11"/>
        <v>327.43118825729033</v>
      </c>
      <c r="R49" s="69">
        <f t="shared" si="11"/>
        <v>343.80274767015487</v>
      </c>
      <c r="S49" s="70">
        <f t="shared" si="12"/>
        <v>360.99288505366263</v>
      </c>
      <c r="T49" s="11">
        <f t="shared" si="12"/>
        <v>379.04252930634578</v>
      </c>
      <c r="U49" s="12">
        <f t="shared" si="12"/>
        <v>397.99465577166308</v>
      </c>
      <c r="V49" s="13">
        <f t="shared" si="12"/>
        <v>417.89438856024623</v>
      </c>
      <c r="W49" s="12">
        <f t="shared" si="12"/>
        <v>438.78910798825854</v>
      </c>
      <c r="X49" s="13">
        <f t="shared" si="12"/>
        <v>460.72856338767144</v>
      </c>
      <c r="Y49" s="12">
        <f t="shared" si="12"/>
        <v>483.764991557055</v>
      </c>
      <c r="Z49" s="14">
        <f t="shared" si="12"/>
        <v>507.95324113490773</v>
      </c>
    </row>
    <row r="50" spans="1:26" x14ac:dyDescent="0.2">
      <c r="A50" s="23">
        <v>36161</v>
      </c>
      <c r="B50" s="71">
        <v>157.5</v>
      </c>
      <c r="C50" s="10">
        <f t="shared" si="11"/>
        <v>165.375</v>
      </c>
      <c r="D50" s="69">
        <f t="shared" si="11"/>
        <v>173.64375000000001</v>
      </c>
      <c r="E50" s="10">
        <f t="shared" si="11"/>
        <v>182.32593750000001</v>
      </c>
      <c r="F50" s="69">
        <f t="shared" si="11"/>
        <v>191.442234375</v>
      </c>
      <c r="G50" s="70">
        <f t="shared" si="11"/>
        <v>201.01434609374999</v>
      </c>
      <c r="H50" s="71">
        <f t="shared" si="11"/>
        <v>211.0650633984375</v>
      </c>
      <c r="I50" s="10">
        <f t="shared" si="11"/>
        <v>221.61831656835938</v>
      </c>
      <c r="J50" s="69">
        <f t="shared" si="11"/>
        <v>232.69923239677735</v>
      </c>
      <c r="K50" s="10">
        <f t="shared" si="11"/>
        <v>244.33419401661621</v>
      </c>
      <c r="L50" s="69">
        <f t="shared" si="11"/>
        <v>256.550903717447</v>
      </c>
      <c r="M50" s="70">
        <f t="shared" si="11"/>
        <v>269.37844890331934</v>
      </c>
      <c r="N50" s="71">
        <f t="shared" si="11"/>
        <v>282.8473713484853</v>
      </c>
      <c r="O50" s="10">
        <f t="shared" si="11"/>
        <v>296.98973991590958</v>
      </c>
      <c r="P50" s="69">
        <f t="shared" si="11"/>
        <v>311.83922691170505</v>
      </c>
      <c r="Q50" s="10">
        <f t="shared" si="11"/>
        <v>327.43118825729033</v>
      </c>
      <c r="R50" s="69">
        <f t="shared" si="11"/>
        <v>343.80274767015487</v>
      </c>
      <c r="S50" s="70">
        <f t="shared" si="12"/>
        <v>360.99288505366263</v>
      </c>
      <c r="T50" s="11">
        <f t="shared" si="12"/>
        <v>379.04252930634578</v>
      </c>
      <c r="U50" s="12">
        <f t="shared" si="12"/>
        <v>397.99465577166308</v>
      </c>
      <c r="V50" s="13">
        <f t="shared" si="12"/>
        <v>417.89438856024623</v>
      </c>
      <c r="W50" s="12">
        <f t="shared" si="12"/>
        <v>438.78910798825854</v>
      </c>
      <c r="X50" s="13">
        <f t="shared" si="12"/>
        <v>460.72856338767144</v>
      </c>
      <c r="Y50" s="12">
        <f t="shared" si="12"/>
        <v>483.764991557055</v>
      </c>
      <c r="Z50" s="14">
        <f t="shared" si="12"/>
        <v>507.95324113490773</v>
      </c>
    </row>
    <row r="51" spans="1:26" x14ac:dyDescent="0.2">
      <c r="A51" s="23">
        <v>36192</v>
      </c>
      <c r="B51" s="71">
        <v>157.5</v>
      </c>
      <c r="C51" s="10">
        <f t="shared" si="11"/>
        <v>165.375</v>
      </c>
      <c r="D51" s="69">
        <f t="shared" si="11"/>
        <v>173.64375000000001</v>
      </c>
      <c r="E51" s="10">
        <f t="shared" si="11"/>
        <v>182.32593750000001</v>
      </c>
      <c r="F51" s="69">
        <f t="shared" si="11"/>
        <v>191.442234375</v>
      </c>
      <c r="G51" s="70">
        <f t="shared" si="11"/>
        <v>201.01434609374999</v>
      </c>
      <c r="H51" s="71">
        <f t="shared" si="11"/>
        <v>211.0650633984375</v>
      </c>
      <c r="I51" s="10">
        <f t="shared" si="11"/>
        <v>221.61831656835938</v>
      </c>
      <c r="J51" s="69">
        <f t="shared" si="11"/>
        <v>232.69923239677735</v>
      </c>
      <c r="K51" s="10">
        <f t="shared" si="11"/>
        <v>244.33419401661621</v>
      </c>
      <c r="L51" s="69">
        <f t="shared" si="11"/>
        <v>256.550903717447</v>
      </c>
      <c r="M51" s="70">
        <f t="shared" si="11"/>
        <v>269.37844890331934</v>
      </c>
      <c r="N51" s="71">
        <f t="shared" si="11"/>
        <v>282.8473713484853</v>
      </c>
      <c r="O51" s="10">
        <f t="shared" si="11"/>
        <v>296.98973991590958</v>
      </c>
      <c r="P51" s="69">
        <f t="shared" si="11"/>
        <v>311.83922691170505</v>
      </c>
      <c r="Q51" s="10">
        <f t="shared" si="11"/>
        <v>327.43118825729033</v>
      </c>
      <c r="R51" s="69">
        <f t="shared" si="11"/>
        <v>343.80274767015487</v>
      </c>
      <c r="S51" s="70">
        <f t="shared" si="12"/>
        <v>360.99288505366263</v>
      </c>
      <c r="T51" s="11">
        <f t="shared" si="12"/>
        <v>379.04252930634578</v>
      </c>
      <c r="U51" s="12">
        <f t="shared" si="12"/>
        <v>397.99465577166308</v>
      </c>
      <c r="V51" s="13">
        <f t="shared" si="12"/>
        <v>417.89438856024623</v>
      </c>
      <c r="W51" s="12">
        <f t="shared" si="12"/>
        <v>438.78910798825854</v>
      </c>
      <c r="X51" s="13">
        <f t="shared" si="12"/>
        <v>460.72856338767144</v>
      </c>
      <c r="Y51" s="12">
        <f t="shared" si="12"/>
        <v>483.764991557055</v>
      </c>
      <c r="Z51" s="14">
        <f t="shared" si="12"/>
        <v>507.95324113490773</v>
      </c>
    </row>
    <row r="52" spans="1:26" x14ac:dyDescent="0.2">
      <c r="A52" s="23">
        <v>36220</v>
      </c>
      <c r="B52" s="71">
        <v>157.5</v>
      </c>
      <c r="C52" s="10">
        <f t="shared" si="11"/>
        <v>165.375</v>
      </c>
      <c r="D52" s="69">
        <f t="shared" si="11"/>
        <v>173.64375000000001</v>
      </c>
      <c r="E52" s="10">
        <f t="shared" si="11"/>
        <v>182.32593750000001</v>
      </c>
      <c r="F52" s="69">
        <f t="shared" si="11"/>
        <v>191.442234375</v>
      </c>
      <c r="G52" s="70">
        <f t="shared" si="11"/>
        <v>201.01434609374999</v>
      </c>
      <c r="H52" s="71">
        <f t="shared" si="11"/>
        <v>211.0650633984375</v>
      </c>
      <c r="I52" s="10">
        <f t="shared" si="11"/>
        <v>221.61831656835938</v>
      </c>
      <c r="J52" s="69">
        <f t="shared" si="11"/>
        <v>232.69923239677735</v>
      </c>
      <c r="K52" s="10">
        <f t="shared" si="11"/>
        <v>244.33419401661621</v>
      </c>
      <c r="L52" s="69">
        <f t="shared" si="11"/>
        <v>256.550903717447</v>
      </c>
      <c r="M52" s="70">
        <f t="shared" si="11"/>
        <v>269.37844890331934</v>
      </c>
      <c r="N52" s="71">
        <f t="shared" si="11"/>
        <v>282.8473713484853</v>
      </c>
      <c r="O52" s="10">
        <f t="shared" si="11"/>
        <v>296.98973991590958</v>
      </c>
      <c r="P52" s="69">
        <f t="shared" si="11"/>
        <v>311.83922691170505</v>
      </c>
      <c r="Q52" s="10">
        <f t="shared" si="11"/>
        <v>327.43118825729033</v>
      </c>
      <c r="R52" s="69">
        <f t="shared" ref="R52:Z67" si="13">(Q52*0.05)+Q52</f>
        <v>343.80274767015487</v>
      </c>
      <c r="S52" s="70">
        <f t="shared" si="13"/>
        <v>360.99288505366263</v>
      </c>
      <c r="T52" s="11">
        <f t="shared" si="13"/>
        <v>379.04252930634578</v>
      </c>
      <c r="U52" s="12">
        <f t="shared" si="13"/>
        <v>397.99465577166308</v>
      </c>
      <c r="V52" s="13">
        <f t="shared" si="13"/>
        <v>417.89438856024623</v>
      </c>
      <c r="W52" s="12">
        <f t="shared" si="13"/>
        <v>438.78910798825854</v>
      </c>
      <c r="X52" s="13">
        <f t="shared" si="13"/>
        <v>460.72856338767144</v>
      </c>
      <c r="Y52" s="12">
        <f t="shared" si="13"/>
        <v>483.764991557055</v>
      </c>
      <c r="Z52" s="14">
        <f t="shared" si="13"/>
        <v>507.95324113490773</v>
      </c>
    </row>
    <row r="53" spans="1:26" x14ac:dyDescent="0.2">
      <c r="A53" s="23">
        <v>36251</v>
      </c>
      <c r="B53" s="71">
        <v>157.5</v>
      </c>
      <c r="C53" s="10">
        <f t="shared" ref="C53:R68" si="14">(B53*0.05)+B53</f>
        <v>165.375</v>
      </c>
      <c r="D53" s="69">
        <f t="shared" si="14"/>
        <v>173.64375000000001</v>
      </c>
      <c r="E53" s="10">
        <f t="shared" si="14"/>
        <v>182.32593750000001</v>
      </c>
      <c r="F53" s="69">
        <f t="shared" si="14"/>
        <v>191.442234375</v>
      </c>
      <c r="G53" s="70">
        <f t="shared" si="14"/>
        <v>201.01434609374999</v>
      </c>
      <c r="H53" s="71">
        <f t="shared" si="14"/>
        <v>211.0650633984375</v>
      </c>
      <c r="I53" s="10">
        <f t="shared" si="14"/>
        <v>221.61831656835938</v>
      </c>
      <c r="J53" s="69">
        <f t="shared" si="14"/>
        <v>232.69923239677735</v>
      </c>
      <c r="K53" s="10">
        <f t="shared" si="14"/>
        <v>244.33419401661621</v>
      </c>
      <c r="L53" s="69">
        <f t="shared" si="14"/>
        <v>256.550903717447</v>
      </c>
      <c r="M53" s="70">
        <f t="shared" si="14"/>
        <v>269.37844890331934</v>
      </c>
      <c r="N53" s="71">
        <f t="shared" si="14"/>
        <v>282.8473713484853</v>
      </c>
      <c r="O53" s="10">
        <f t="shared" si="14"/>
        <v>296.98973991590958</v>
      </c>
      <c r="P53" s="69">
        <f t="shared" si="14"/>
        <v>311.83922691170505</v>
      </c>
      <c r="Q53" s="10">
        <f t="shared" si="14"/>
        <v>327.43118825729033</v>
      </c>
      <c r="R53" s="69">
        <f t="shared" si="14"/>
        <v>343.80274767015487</v>
      </c>
      <c r="S53" s="70">
        <f t="shared" si="13"/>
        <v>360.99288505366263</v>
      </c>
      <c r="T53" s="11">
        <f t="shared" si="13"/>
        <v>379.04252930634578</v>
      </c>
      <c r="U53" s="12">
        <f t="shared" si="13"/>
        <v>397.99465577166308</v>
      </c>
      <c r="V53" s="13">
        <f t="shared" si="13"/>
        <v>417.89438856024623</v>
      </c>
      <c r="W53" s="12">
        <f t="shared" si="13"/>
        <v>438.78910798825854</v>
      </c>
      <c r="X53" s="13">
        <f t="shared" si="13"/>
        <v>460.72856338767144</v>
      </c>
      <c r="Y53" s="12">
        <f t="shared" si="13"/>
        <v>483.764991557055</v>
      </c>
      <c r="Z53" s="14">
        <f t="shared" si="13"/>
        <v>507.95324113490773</v>
      </c>
    </row>
    <row r="54" spans="1:26" x14ac:dyDescent="0.2">
      <c r="A54" s="23">
        <v>36281</v>
      </c>
      <c r="B54" s="71">
        <v>157.5</v>
      </c>
      <c r="C54" s="10">
        <f t="shared" si="14"/>
        <v>165.375</v>
      </c>
      <c r="D54" s="69">
        <f t="shared" si="14"/>
        <v>173.64375000000001</v>
      </c>
      <c r="E54" s="10">
        <f t="shared" si="14"/>
        <v>182.32593750000001</v>
      </c>
      <c r="F54" s="69">
        <f t="shared" si="14"/>
        <v>191.442234375</v>
      </c>
      <c r="G54" s="70">
        <f t="shared" si="14"/>
        <v>201.01434609374999</v>
      </c>
      <c r="H54" s="71">
        <f t="shared" si="14"/>
        <v>211.0650633984375</v>
      </c>
      <c r="I54" s="10">
        <f t="shared" si="14"/>
        <v>221.61831656835938</v>
      </c>
      <c r="J54" s="69">
        <f t="shared" si="14"/>
        <v>232.69923239677735</v>
      </c>
      <c r="K54" s="10">
        <f t="shared" si="14"/>
        <v>244.33419401661621</v>
      </c>
      <c r="L54" s="69">
        <f t="shared" si="14"/>
        <v>256.550903717447</v>
      </c>
      <c r="M54" s="70">
        <f t="shared" si="14"/>
        <v>269.37844890331934</v>
      </c>
      <c r="N54" s="71">
        <f t="shared" si="14"/>
        <v>282.8473713484853</v>
      </c>
      <c r="O54" s="10">
        <f t="shared" si="14"/>
        <v>296.98973991590958</v>
      </c>
      <c r="P54" s="69">
        <f t="shared" si="14"/>
        <v>311.83922691170505</v>
      </c>
      <c r="Q54" s="10">
        <f t="shared" si="14"/>
        <v>327.43118825729033</v>
      </c>
      <c r="R54" s="69">
        <f t="shared" si="14"/>
        <v>343.80274767015487</v>
      </c>
      <c r="S54" s="70">
        <f t="shared" si="13"/>
        <v>360.99288505366263</v>
      </c>
      <c r="T54" s="11">
        <f t="shared" si="13"/>
        <v>379.04252930634578</v>
      </c>
      <c r="U54" s="12">
        <f t="shared" si="13"/>
        <v>397.99465577166308</v>
      </c>
      <c r="V54" s="13">
        <f t="shared" si="13"/>
        <v>417.89438856024623</v>
      </c>
      <c r="W54" s="12">
        <f t="shared" si="13"/>
        <v>438.78910798825854</v>
      </c>
      <c r="X54" s="13">
        <f t="shared" si="13"/>
        <v>460.72856338767144</v>
      </c>
      <c r="Y54" s="12">
        <f t="shared" si="13"/>
        <v>483.764991557055</v>
      </c>
      <c r="Z54" s="14">
        <f t="shared" si="13"/>
        <v>507.95324113490773</v>
      </c>
    </row>
    <row r="55" spans="1:26" x14ac:dyDescent="0.2">
      <c r="A55" s="23">
        <v>36312</v>
      </c>
      <c r="B55" s="71">
        <v>157.5</v>
      </c>
      <c r="C55" s="10">
        <f t="shared" si="14"/>
        <v>165.375</v>
      </c>
      <c r="D55" s="69">
        <f t="shared" si="14"/>
        <v>173.64375000000001</v>
      </c>
      <c r="E55" s="10">
        <f t="shared" si="14"/>
        <v>182.32593750000001</v>
      </c>
      <c r="F55" s="69">
        <f t="shared" si="14"/>
        <v>191.442234375</v>
      </c>
      <c r="G55" s="70">
        <f t="shared" si="14"/>
        <v>201.01434609374999</v>
      </c>
      <c r="H55" s="71">
        <f t="shared" si="14"/>
        <v>211.0650633984375</v>
      </c>
      <c r="I55" s="10">
        <f t="shared" si="14"/>
        <v>221.61831656835938</v>
      </c>
      <c r="J55" s="69">
        <f t="shared" si="14"/>
        <v>232.69923239677735</v>
      </c>
      <c r="K55" s="10">
        <f t="shared" si="14"/>
        <v>244.33419401661621</v>
      </c>
      <c r="L55" s="69">
        <f t="shared" si="14"/>
        <v>256.550903717447</v>
      </c>
      <c r="M55" s="70">
        <f t="shared" si="14"/>
        <v>269.37844890331934</v>
      </c>
      <c r="N55" s="71">
        <f t="shared" si="14"/>
        <v>282.8473713484853</v>
      </c>
      <c r="O55" s="10">
        <f t="shared" si="14"/>
        <v>296.98973991590958</v>
      </c>
      <c r="P55" s="69">
        <f t="shared" si="14"/>
        <v>311.83922691170505</v>
      </c>
      <c r="Q55" s="10">
        <f t="shared" si="14"/>
        <v>327.43118825729033</v>
      </c>
      <c r="R55" s="69">
        <f t="shared" si="14"/>
        <v>343.80274767015487</v>
      </c>
      <c r="S55" s="70">
        <f t="shared" si="13"/>
        <v>360.99288505366263</v>
      </c>
      <c r="T55" s="11">
        <f t="shared" si="13"/>
        <v>379.04252930634578</v>
      </c>
      <c r="U55" s="12">
        <f t="shared" si="13"/>
        <v>397.99465577166308</v>
      </c>
      <c r="V55" s="13">
        <f t="shared" si="13"/>
        <v>417.89438856024623</v>
      </c>
      <c r="W55" s="12">
        <f t="shared" si="13"/>
        <v>438.78910798825854</v>
      </c>
      <c r="X55" s="13">
        <f t="shared" si="13"/>
        <v>460.72856338767144</v>
      </c>
      <c r="Y55" s="12">
        <f t="shared" si="13"/>
        <v>483.764991557055</v>
      </c>
      <c r="Z55" s="14">
        <f t="shared" si="13"/>
        <v>507.95324113490773</v>
      </c>
    </row>
    <row r="56" spans="1:26" x14ac:dyDescent="0.2">
      <c r="A56" s="23">
        <v>36342</v>
      </c>
      <c r="B56" s="71">
        <v>157.5</v>
      </c>
      <c r="C56" s="10">
        <f t="shared" si="14"/>
        <v>165.375</v>
      </c>
      <c r="D56" s="69">
        <f t="shared" si="14"/>
        <v>173.64375000000001</v>
      </c>
      <c r="E56" s="10">
        <f t="shared" si="14"/>
        <v>182.32593750000001</v>
      </c>
      <c r="F56" s="69">
        <f t="shared" si="14"/>
        <v>191.442234375</v>
      </c>
      <c r="G56" s="70">
        <f t="shared" si="14"/>
        <v>201.01434609374999</v>
      </c>
      <c r="H56" s="71">
        <f t="shared" si="14"/>
        <v>211.0650633984375</v>
      </c>
      <c r="I56" s="10">
        <f t="shared" si="14"/>
        <v>221.61831656835938</v>
      </c>
      <c r="J56" s="69">
        <f t="shared" si="14"/>
        <v>232.69923239677735</v>
      </c>
      <c r="K56" s="10">
        <f t="shared" si="14"/>
        <v>244.33419401661621</v>
      </c>
      <c r="L56" s="69">
        <f t="shared" si="14"/>
        <v>256.550903717447</v>
      </c>
      <c r="M56" s="70">
        <f t="shared" si="14"/>
        <v>269.37844890331934</v>
      </c>
      <c r="N56" s="71">
        <f t="shared" si="14"/>
        <v>282.8473713484853</v>
      </c>
      <c r="O56" s="10">
        <f t="shared" si="14"/>
        <v>296.98973991590958</v>
      </c>
      <c r="P56" s="69">
        <f t="shared" si="14"/>
        <v>311.83922691170505</v>
      </c>
      <c r="Q56" s="10">
        <f t="shared" si="14"/>
        <v>327.43118825729033</v>
      </c>
      <c r="R56" s="69">
        <f t="shared" si="14"/>
        <v>343.80274767015487</v>
      </c>
      <c r="S56" s="70">
        <f t="shared" si="13"/>
        <v>360.99288505366263</v>
      </c>
      <c r="T56" s="11">
        <f t="shared" si="13"/>
        <v>379.04252930634578</v>
      </c>
      <c r="U56" s="12">
        <f t="shared" si="13"/>
        <v>397.99465577166308</v>
      </c>
      <c r="V56" s="13">
        <f t="shared" si="13"/>
        <v>417.89438856024623</v>
      </c>
      <c r="W56" s="12">
        <f t="shared" si="13"/>
        <v>438.78910798825854</v>
      </c>
      <c r="X56" s="13">
        <f t="shared" si="13"/>
        <v>460.72856338767144</v>
      </c>
      <c r="Y56" s="12">
        <f t="shared" si="13"/>
        <v>483.764991557055</v>
      </c>
      <c r="Z56" s="14">
        <f t="shared" si="13"/>
        <v>507.95324113490773</v>
      </c>
    </row>
    <row r="57" spans="1:26" x14ac:dyDescent="0.2">
      <c r="A57" s="23">
        <v>36373</v>
      </c>
      <c r="B57" s="71">
        <v>157.5</v>
      </c>
      <c r="C57" s="10">
        <f t="shared" si="14"/>
        <v>165.375</v>
      </c>
      <c r="D57" s="69">
        <f t="shared" si="14"/>
        <v>173.64375000000001</v>
      </c>
      <c r="E57" s="10">
        <f t="shared" si="14"/>
        <v>182.32593750000001</v>
      </c>
      <c r="F57" s="69">
        <f t="shared" si="14"/>
        <v>191.442234375</v>
      </c>
      <c r="G57" s="70">
        <f t="shared" si="14"/>
        <v>201.01434609374999</v>
      </c>
      <c r="H57" s="71">
        <f t="shared" si="14"/>
        <v>211.0650633984375</v>
      </c>
      <c r="I57" s="10">
        <f t="shared" si="14"/>
        <v>221.61831656835938</v>
      </c>
      <c r="J57" s="69">
        <f t="shared" si="14"/>
        <v>232.69923239677735</v>
      </c>
      <c r="K57" s="10">
        <f t="shared" si="14"/>
        <v>244.33419401661621</v>
      </c>
      <c r="L57" s="69">
        <f t="shared" si="14"/>
        <v>256.550903717447</v>
      </c>
      <c r="M57" s="70">
        <f t="shared" si="14"/>
        <v>269.37844890331934</v>
      </c>
      <c r="N57" s="71">
        <f t="shared" si="14"/>
        <v>282.8473713484853</v>
      </c>
      <c r="O57" s="10">
        <f t="shared" si="14"/>
        <v>296.98973991590958</v>
      </c>
      <c r="P57" s="69">
        <f t="shared" si="14"/>
        <v>311.83922691170505</v>
      </c>
      <c r="Q57" s="10">
        <f t="shared" si="14"/>
        <v>327.43118825729033</v>
      </c>
      <c r="R57" s="69">
        <f t="shared" si="14"/>
        <v>343.80274767015487</v>
      </c>
      <c r="S57" s="70">
        <f t="shared" si="13"/>
        <v>360.99288505366263</v>
      </c>
      <c r="T57" s="11">
        <f t="shared" si="13"/>
        <v>379.04252930634578</v>
      </c>
      <c r="U57" s="12">
        <f t="shared" si="13"/>
        <v>397.99465577166308</v>
      </c>
      <c r="V57" s="13">
        <f t="shared" si="13"/>
        <v>417.89438856024623</v>
      </c>
      <c r="W57" s="12">
        <f t="shared" si="13"/>
        <v>438.78910798825854</v>
      </c>
      <c r="X57" s="13">
        <f t="shared" si="13"/>
        <v>460.72856338767144</v>
      </c>
      <c r="Y57" s="12">
        <f t="shared" si="13"/>
        <v>483.764991557055</v>
      </c>
      <c r="Z57" s="14">
        <f t="shared" si="13"/>
        <v>507.95324113490773</v>
      </c>
    </row>
    <row r="58" spans="1:26" x14ac:dyDescent="0.2">
      <c r="A58" s="23">
        <v>36404</v>
      </c>
      <c r="B58" s="71">
        <v>157.5</v>
      </c>
      <c r="C58" s="10">
        <f t="shared" si="14"/>
        <v>165.375</v>
      </c>
      <c r="D58" s="69">
        <f t="shared" si="14"/>
        <v>173.64375000000001</v>
      </c>
      <c r="E58" s="10">
        <f t="shared" si="14"/>
        <v>182.32593750000001</v>
      </c>
      <c r="F58" s="69">
        <f t="shared" si="14"/>
        <v>191.442234375</v>
      </c>
      <c r="G58" s="70">
        <f t="shared" si="14"/>
        <v>201.01434609374999</v>
      </c>
      <c r="H58" s="71">
        <f t="shared" si="14"/>
        <v>211.0650633984375</v>
      </c>
      <c r="I58" s="10">
        <f t="shared" si="14"/>
        <v>221.61831656835938</v>
      </c>
      <c r="J58" s="69">
        <f t="shared" si="14"/>
        <v>232.69923239677735</v>
      </c>
      <c r="K58" s="10">
        <f t="shared" si="14"/>
        <v>244.33419401661621</v>
      </c>
      <c r="L58" s="69">
        <f t="shared" si="14"/>
        <v>256.550903717447</v>
      </c>
      <c r="M58" s="70">
        <f t="shared" si="14"/>
        <v>269.37844890331934</v>
      </c>
      <c r="N58" s="71">
        <f t="shared" si="14"/>
        <v>282.8473713484853</v>
      </c>
      <c r="O58" s="10">
        <f t="shared" si="14"/>
        <v>296.98973991590958</v>
      </c>
      <c r="P58" s="69">
        <f t="shared" si="14"/>
        <v>311.83922691170505</v>
      </c>
      <c r="Q58" s="10">
        <f t="shared" si="14"/>
        <v>327.43118825729033</v>
      </c>
      <c r="R58" s="69">
        <f t="shared" si="14"/>
        <v>343.80274767015487</v>
      </c>
      <c r="S58" s="70">
        <f t="shared" si="13"/>
        <v>360.99288505366263</v>
      </c>
      <c r="T58" s="11">
        <f t="shared" si="13"/>
        <v>379.04252930634578</v>
      </c>
      <c r="U58" s="12">
        <f t="shared" si="13"/>
        <v>397.99465577166308</v>
      </c>
      <c r="V58" s="13">
        <f t="shared" si="13"/>
        <v>417.89438856024623</v>
      </c>
      <c r="W58" s="12">
        <f t="shared" si="13"/>
        <v>438.78910798825854</v>
      </c>
      <c r="X58" s="13">
        <f t="shared" si="13"/>
        <v>460.72856338767144</v>
      </c>
      <c r="Y58" s="12">
        <f t="shared" si="13"/>
        <v>483.764991557055</v>
      </c>
      <c r="Z58" s="14">
        <f t="shared" si="13"/>
        <v>507.95324113490773</v>
      </c>
    </row>
    <row r="59" spans="1:26" x14ac:dyDescent="0.2">
      <c r="A59" s="23">
        <v>36434</v>
      </c>
      <c r="B59" s="71">
        <v>157.5</v>
      </c>
      <c r="C59" s="10">
        <f t="shared" si="14"/>
        <v>165.375</v>
      </c>
      <c r="D59" s="69">
        <f t="shared" si="14"/>
        <v>173.64375000000001</v>
      </c>
      <c r="E59" s="10">
        <f t="shared" si="14"/>
        <v>182.32593750000001</v>
      </c>
      <c r="F59" s="69">
        <f t="shared" si="14"/>
        <v>191.442234375</v>
      </c>
      <c r="G59" s="70">
        <f t="shared" si="14"/>
        <v>201.01434609374999</v>
      </c>
      <c r="H59" s="71">
        <f t="shared" si="14"/>
        <v>211.0650633984375</v>
      </c>
      <c r="I59" s="10">
        <f t="shared" si="14"/>
        <v>221.61831656835938</v>
      </c>
      <c r="J59" s="69">
        <f t="shared" si="14"/>
        <v>232.69923239677735</v>
      </c>
      <c r="K59" s="10">
        <f t="shared" si="14"/>
        <v>244.33419401661621</v>
      </c>
      <c r="L59" s="69">
        <f t="shared" si="14"/>
        <v>256.550903717447</v>
      </c>
      <c r="M59" s="70">
        <f t="shared" si="14"/>
        <v>269.37844890331934</v>
      </c>
      <c r="N59" s="71">
        <f t="shared" si="14"/>
        <v>282.8473713484853</v>
      </c>
      <c r="O59" s="10">
        <f t="shared" si="14"/>
        <v>296.98973991590958</v>
      </c>
      <c r="P59" s="69">
        <f t="shared" si="14"/>
        <v>311.83922691170505</v>
      </c>
      <c r="Q59" s="10">
        <f t="shared" si="14"/>
        <v>327.43118825729033</v>
      </c>
      <c r="R59" s="69">
        <f t="shared" si="13"/>
        <v>343.80274767015487</v>
      </c>
      <c r="S59" s="70">
        <f t="shared" si="13"/>
        <v>360.99288505366263</v>
      </c>
      <c r="T59" s="11">
        <f t="shared" si="13"/>
        <v>379.04252930634578</v>
      </c>
      <c r="U59" s="12">
        <f t="shared" si="13"/>
        <v>397.99465577166308</v>
      </c>
      <c r="V59" s="13">
        <f t="shared" si="13"/>
        <v>417.89438856024623</v>
      </c>
      <c r="W59" s="12">
        <f t="shared" si="13"/>
        <v>438.78910798825854</v>
      </c>
      <c r="X59" s="13">
        <f t="shared" si="13"/>
        <v>460.72856338767144</v>
      </c>
      <c r="Y59" s="12">
        <f t="shared" si="13"/>
        <v>483.764991557055</v>
      </c>
      <c r="Z59" s="14">
        <f t="shared" si="13"/>
        <v>507.95324113490773</v>
      </c>
    </row>
    <row r="60" spans="1:26" x14ac:dyDescent="0.2">
      <c r="A60" s="23">
        <v>36465</v>
      </c>
      <c r="B60" s="71">
        <v>157.5</v>
      </c>
      <c r="C60" s="10">
        <f t="shared" si="14"/>
        <v>165.375</v>
      </c>
      <c r="D60" s="69">
        <f t="shared" si="14"/>
        <v>173.64375000000001</v>
      </c>
      <c r="E60" s="10">
        <f t="shared" si="14"/>
        <v>182.32593750000001</v>
      </c>
      <c r="F60" s="69">
        <f t="shared" si="14"/>
        <v>191.442234375</v>
      </c>
      <c r="G60" s="70">
        <f t="shared" si="14"/>
        <v>201.01434609374999</v>
      </c>
      <c r="H60" s="71">
        <f t="shared" si="14"/>
        <v>211.0650633984375</v>
      </c>
      <c r="I60" s="10">
        <f t="shared" si="14"/>
        <v>221.61831656835938</v>
      </c>
      <c r="J60" s="69">
        <f t="shared" si="14"/>
        <v>232.69923239677735</v>
      </c>
      <c r="K60" s="10">
        <f t="shared" si="14"/>
        <v>244.33419401661621</v>
      </c>
      <c r="L60" s="69">
        <f t="shared" si="14"/>
        <v>256.550903717447</v>
      </c>
      <c r="M60" s="70">
        <f t="shared" si="14"/>
        <v>269.37844890331934</v>
      </c>
      <c r="N60" s="71">
        <f t="shared" si="14"/>
        <v>282.8473713484853</v>
      </c>
      <c r="O60" s="10">
        <f t="shared" si="14"/>
        <v>296.98973991590958</v>
      </c>
      <c r="P60" s="69">
        <f t="shared" si="14"/>
        <v>311.83922691170505</v>
      </c>
      <c r="Q60" s="10">
        <f t="shared" si="14"/>
        <v>327.43118825729033</v>
      </c>
      <c r="R60" s="69">
        <f t="shared" si="13"/>
        <v>343.80274767015487</v>
      </c>
      <c r="S60" s="70">
        <f t="shared" si="13"/>
        <v>360.99288505366263</v>
      </c>
      <c r="T60" s="11">
        <f t="shared" si="13"/>
        <v>379.04252930634578</v>
      </c>
      <c r="U60" s="12">
        <f t="shared" si="13"/>
        <v>397.99465577166308</v>
      </c>
      <c r="V60" s="13">
        <f t="shared" si="13"/>
        <v>417.89438856024623</v>
      </c>
      <c r="W60" s="12">
        <f t="shared" si="13"/>
        <v>438.78910798825854</v>
      </c>
      <c r="X60" s="13">
        <f t="shared" si="13"/>
        <v>460.72856338767144</v>
      </c>
      <c r="Y60" s="12">
        <f t="shared" si="13"/>
        <v>483.764991557055</v>
      </c>
      <c r="Z60" s="14">
        <f t="shared" si="13"/>
        <v>507.95324113490773</v>
      </c>
    </row>
    <row r="61" spans="1:26" x14ac:dyDescent="0.2">
      <c r="A61" s="23">
        <v>36495</v>
      </c>
      <c r="B61" s="71">
        <v>157.5</v>
      </c>
      <c r="C61" s="10">
        <f t="shared" si="14"/>
        <v>165.375</v>
      </c>
      <c r="D61" s="69">
        <f t="shared" si="14"/>
        <v>173.64375000000001</v>
      </c>
      <c r="E61" s="10">
        <f t="shared" si="14"/>
        <v>182.32593750000001</v>
      </c>
      <c r="F61" s="69">
        <f t="shared" si="14"/>
        <v>191.442234375</v>
      </c>
      <c r="G61" s="70">
        <f t="shared" si="14"/>
        <v>201.01434609374999</v>
      </c>
      <c r="H61" s="71">
        <f t="shared" si="14"/>
        <v>211.0650633984375</v>
      </c>
      <c r="I61" s="10">
        <f t="shared" si="14"/>
        <v>221.61831656835938</v>
      </c>
      <c r="J61" s="69">
        <f t="shared" si="14"/>
        <v>232.69923239677735</v>
      </c>
      <c r="K61" s="10">
        <f t="shared" si="14"/>
        <v>244.33419401661621</v>
      </c>
      <c r="L61" s="69">
        <f t="shared" si="14"/>
        <v>256.550903717447</v>
      </c>
      <c r="M61" s="70">
        <f t="shared" si="14"/>
        <v>269.37844890331934</v>
      </c>
      <c r="N61" s="71">
        <f t="shared" si="14"/>
        <v>282.8473713484853</v>
      </c>
      <c r="O61" s="10">
        <f t="shared" si="14"/>
        <v>296.98973991590958</v>
      </c>
      <c r="P61" s="69">
        <f t="shared" si="14"/>
        <v>311.83922691170505</v>
      </c>
      <c r="Q61" s="10">
        <f t="shared" si="14"/>
        <v>327.43118825729033</v>
      </c>
      <c r="R61" s="69">
        <f t="shared" si="13"/>
        <v>343.80274767015487</v>
      </c>
      <c r="S61" s="70">
        <f t="shared" si="13"/>
        <v>360.99288505366263</v>
      </c>
      <c r="T61" s="11">
        <f t="shared" si="13"/>
        <v>379.04252930634578</v>
      </c>
      <c r="U61" s="12">
        <f t="shared" si="13"/>
        <v>397.99465577166308</v>
      </c>
      <c r="V61" s="13">
        <f t="shared" si="13"/>
        <v>417.89438856024623</v>
      </c>
      <c r="W61" s="12">
        <f t="shared" si="13"/>
        <v>438.78910798825854</v>
      </c>
      <c r="X61" s="13">
        <f t="shared" si="13"/>
        <v>460.72856338767144</v>
      </c>
      <c r="Y61" s="12">
        <f t="shared" si="13"/>
        <v>483.764991557055</v>
      </c>
      <c r="Z61" s="14">
        <f t="shared" si="13"/>
        <v>507.95324113490773</v>
      </c>
    </row>
    <row r="62" spans="1:26" x14ac:dyDescent="0.2">
      <c r="A62" s="23">
        <v>36526</v>
      </c>
      <c r="B62" s="71">
        <v>157.5</v>
      </c>
      <c r="C62" s="10">
        <f t="shared" si="14"/>
        <v>165.375</v>
      </c>
      <c r="D62" s="69">
        <f t="shared" si="14"/>
        <v>173.64375000000001</v>
      </c>
      <c r="E62" s="10">
        <f t="shared" si="14"/>
        <v>182.32593750000001</v>
      </c>
      <c r="F62" s="69">
        <f t="shared" si="14"/>
        <v>191.442234375</v>
      </c>
      <c r="G62" s="70">
        <f t="shared" si="14"/>
        <v>201.01434609374999</v>
      </c>
      <c r="H62" s="71">
        <f t="shared" si="14"/>
        <v>211.0650633984375</v>
      </c>
      <c r="I62" s="10">
        <f t="shared" si="14"/>
        <v>221.61831656835938</v>
      </c>
      <c r="J62" s="69">
        <f t="shared" si="14"/>
        <v>232.69923239677735</v>
      </c>
      <c r="K62" s="10">
        <f t="shared" si="14"/>
        <v>244.33419401661621</v>
      </c>
      <c r="L62" s="69">
        <f t="shared" si="14"/>
        <v>256.550903717447</v>
      </c>
      <c r="M62" s="70">
        <f t="shared" si="14"/>
        <v>269.37844890331934</v>
      </c>
      <c r="N62" s="71">
        <f t="shared" si="14"/>
        <v>282.8473713484853</v>
      </c>
      <c r="O62" s="10">
        <f t="shared" si="14"/>
        <v>296.98973991590958</v>
      </c>
      <c r="P62" s="69">
        <f t="shared" si="14"/>
        <v>311.83922691170505</v>
      </c>
      <c r="Q62" s="10">
        <f t="shared" si="14"/>
        <v>327.43118825729033</v>
      </c>
      <c r="R62" s="69">
        <f t="shared" si="13"/>
        <v>343.80274767015487</v>
      </c>
      <c r="S62" s="70">
        <f t="shared" si="13"/>
        <v>360.99288505366263</v>
      </c>
      <c r="T62" s="11">
        <f t="shared" si="13"/>
        <v>379.04252930634578</v>
      </c>
      <c r="U62" s="12">
        <f t="shared" si="13"/>
        <v>397.99465577166308</v>
      </c>
      <c r="V62" s="13">
        <f t="shared" si="13"/>
        <v>417.89438856024623</v>
      </c>
      <c r="W62" s="12">
        <f t="shared" si="13"/>
        <v>438.78910798825854</v>
      </c>
      <c r="X62" s="13">
        <f t="shared" si="13"/>
        <v>460.72856338767144</v>
      </c>
      <c r="Y62" s="12">
        <f t="shared" si="13"/>
        <v>483.764991557055</v>
      </c>
      <c r="Z62" s="14">
        <f t="shared" si="13"/>
        <v>507.95324113490773</v>
      </c>
    </row>
    <row r="63" spans="1:26" x14ac:dyDescent="0.2">
      <c r="A63" s="23">
        <v>36557</v>
      </c>
      <c r="B63" s="71">
        <v>157.5</v>
      </c>
      <c r="C63" s="10">
        <f t="shared" si="14"/>
        <v>165.375</v>
      </c>
      <c r="D63" s="69">
        <f t="shared" si="14"/>
        <v>173.64375000000001</v>
      </c>
      <c r="E63" s="10">
        <f t="shared" si="14"/>
        <v>182.32593750000001</v>
      </c>
      <c r="F63" s="69">
        <f t="shared" si="14"/>
        <v>191.442234375</v>
      </c>
      <c r="G63" s="70">
        <f t="shared" si="14"/>
        <v>201.01434609374999</v>
      </c>
      <c r="H63" s="71">
        <f t="shared" si="14"/>
        <v>211.0650633984375</v>
      </c>
      <c r="I63" s="10">
        <f t="shared" si="14"/>
        <v>221.61831656835938</v>
      </c>
      <c r="J63" s="69">
        <f t="shared" si="14"/>
        <v>232.69923239677735</v>
      </c>
      <c r="K63" s="10">
        <f t="shared" si="14"/>
        <v>244.33419401661621</v>
      </c>
      <c r="L63" s="69">
        <f t="shared" si="14"/>
        <v>256.550903717447</v>
      </c>
      <c r="M63" s="70">
        <f t="shared" si="14"/>
        <v>269.37844890331934</v>
      </c>
      <c r="N63" s="71">
        <f t="shared" si="14"/>
        <v>282.8473713484853</v>
      </c>
      <c r="O63" s="10">
        <f t="shared" si="14"/>
        <v>296.98973991590958</v>
      </c>
      <c r="P63" s="69">
        <f t="shared" si="14"/>
        <v>311.83922691170505</v>
      </c>
      <c r="Q63" s="10">
        <f t="shared" si="14"/>
        <v>327.43118825729033</v>
      </c>
      <c r="R63" s="69">
        <f t="shared" si="13"/>
        <v>343.80274767015487</v>
      </c>
      <c r="S63" s="70">
        <f t="shared" si="13"/>
        <v>360.99288505366263</v>
      </c>
      <c r="T63" s="11">
        <f t="shared" si="13"/>
        <v>379.04252930634578</v>
      </c>
      <c r="U63" s="12">
        <f t="shared" si="13"/>
        <v>397.99465577166308</v>
      </c>
      <c r="V63" s="13">
        <f t="shared" si="13"/>
        <v>417.89438856024623</v>
      </c>
      <c r="W63" s="12">
        <f t="shared" si="13"/>
        <v>438.78910798825854</v>
      </c>
      <c r="X63" s="13">
        <f t="shared" si="13"/>
        <v>460.72856338767144</v>
      </c>
      <c r="Y63" s="12">
        <f t="shared" si="13"/>
        <v>483.764991557055</v>
      </c>
      <c r="Z63" s="14">
        <f t="shared" si="13"/>
        <v>507.95324113490773</v>
      </c>
    </row>
    <row r="64" spans="1:26" x14ac:dyDescent="0.2">
      <c r="A64" s="23">
        <v>36586</v>
      </c>
      <c r="B64" s="71">
        <v>157.5</v>
      </c>
      <c r="C64" s="10">
        <f t="shared" si="14"/>
        <v>165.375</v>
      </c>
      <c r="D64" s="69">
        <f t="shared" si="14"/>
        <v>173.64375000000001</v>
      </c>
      <c r="E64" s="10">
        <f t="shared" si="14"/>
        <v>182.32593750000001</v>
      </c>
      <c r="F64" s="69">
        <f t="shared" si="14"/>
        <v>191.442234375</v>
      </c>
      <c r="G64" s="70">
        <f t="shared" si="14"/>
        <v>201.01434609374999</v>
      </c>
      <c r="H64" s="71">
        <f t="shared" si="14"/>
        <v>211.0650633984375</v>
      </c>
      <c r="I64" s="10">
        <f t="shared" si="14"/>
        <v>221.61831656835938</v>
      </c>
      <c r="J64" s="69">
        <f t="shared" si="14"/>
        <v>232.69923239677735</v>
      </c>
      <c r="K64" s="10">
        <f t="shared" si="14"/>
        <v>244.33419401661621</v>
      </c>
      <c r="L64" s="69">
        <f t="shared" si="14"/>
        <v>256.550903717447</v>
      </c>
      <c r="M64" s="70">
        <f t="shared" si="14"/>
        <v>269.37844890331934</v>
      </c>
      <c r="N64" s="71">
        <f t="shared" si="14"/>
        <v>282.8473713484853</v>
      </c>
      <c r="O64" s="10">
        <f t="shared" si="14"/>
        <v>296.98973991590958</v>
      </c>
      <c r="P64" s="69">
        <f t="shared" si="14"/>
        <v>311.83922691170505</v>
      </c>
      <c r="Q64" s="10">
        <f t="shared" si="14"/>
        <v>327.43118825729033</v>
      </c>
      <c r="R64" s="69">
        <f t="shared" si="13"/>
        <v>343.80274767015487</v>
      </c>
      <c r="S64" s="70">
        <f t="shared" si="13"/>
        <v>360.99288505366263</v>
      </c>
      <c r="T64" s="11">
        <f t="shared" si="13"/>
        <v>379.04252930634578</v>
      </c>
      <c r="U64" s="12">
        <f t="shared" si="13"/>
        <v>397.99465577166308</v>
      </c>
      <c r="V64" s="13">
        <f t="shared" si="13"/>
        <v>417.89438856024623</v>
      </c>
      <c r="W64" s="12">
        <f t="shared" si="13"/>
        <v>438.78910798825854</v>
      </c>
      <c r="X64" s="13">
        <f t="shared" si="13"/>
        <v>460.72856338767144</v>
      </c>
      <c r="Y64" s="12">
        <f t="shared" si="13"/>
        <v>483.764991557055</v>
      </c>
      <c r="Z64" s="14">
        <f t="shared" si="13"/>
        <v>507.95324113490773</v>
      </c>
    </row>
    <row r="65" spans="1:26" x14ac:dyDescent="0.2">
      <c r="A65" s="23">
        <v>36617</v>
      </c>
      <c r="B65" s="71">
        <v>157.5</v>
      </c>
      <c r="C65" s="10">
        <f t="shared" si="14"/>
        <v>165.375</v>
      </c>
      <c r="D65" s="69">
        <f t="shared" si="14"/>
        <v>173.64375000000001</v>
      </c>
      <c r="E65" s="10">
        <f t="shared" si="14"/>
        <v>182.32593750000001</v>
      </c>
      <c r="F65" s="69">
        <f t="shared" si="14"/>
        <v>191.442234375</v>
      </c>
      <c r="G65" s="70">
        <f t="shared" si="14"/>
        <v>201.01434609374999</v>
      </c>
      <c r="H65" s="71">
        <f t="shared" si="14"/>
        <v>211.0650633984375</v>
      </c>
      <c r="I65" s="10">
        <f t="shared" si="14"/>
        <v>221.61831656835938</v>
      </c>
      <c r="J65" s="69">
        <f t="shared" si="14"/>
        <v>232.69923239677735</v>
      </c>
      <c r="K65" s="10">
        <f t="shared" si="14"/>
        <v>244.33419401661621</v>
      </c>
      <c r="L65" s="69">
        <f t="shared" si="14"/>
        <v>256.550903717447</v>
      </c>
      <c r="M65" s="70">
        <f t="shared" si="14"/>
        <v>269.37844890331934</v>
      </c>
      <c r="N65" s="71">
        <f t="shared" si="14"/>
        <v>282.8473713484853</v>
      </c>
      <c r="O65" s="10">
        <f t="shared" si="14"/>
        <v>296.98973991590958</v>
      </c>
      <c r="P65" s="69">
        <f t="shared" si="14"/>
        <v>311.83922691170505</v>
      </c>
      <c r="Q65" s="10">
        <f t="shared" si="14"/>
        <v>327.43118825729033</v>
      </c>
      <c r="R65" s="69">
        <f t="shared" si="13"/>
        <v>343.80274767015487</v>
      </c>
      <c r="S65" s="70">
        <f t="shared" si="13"/>
        <v>360.99288505366263</v>
      </c>
      <c r="T65" s="11">
        <f t="shared" si="13"/>
        <v>379.04252930634578</v>
      </c>
      <c r="U65" s="12">
        <f t="shared" si="13"/>
        <v>397.99465577166308</v>
      </c>
      <c r="V65" s="13">
        <f t="shared" si="13"/>
        <v>417.89438856024623</v>
      </c>
      <c r="W65" s="12">
        <f t="shared" si="13"/>
        <v>438.78910798825854</v>
      </c>
      <c r="X65" s="13">
        <f t="shared" si="13"/>
        <v>460.72856338767144</v>
      </c>
      <c r="Y65" s="12">
        <f t="shared" si="13"/>
        <v>483.764991557055</v>
      </c>
      <c r="Z65" s="14">
        <f t="shared" si="13"/>
        <v>507.95324113490773</v>
      </c>
    </row>
    <row r="66" spans="1:26" x14ac:dyDescent="0.2">
      <c r="A66" s="23">
        <v>36647</v>
      </c>
      <c r="B66" s="71">
        <v>157.5</v>
      </c>
      <c r="C66" s="10">
        <f t="shared" si="14"/>
        <v>165.375</v>
      </c>
      <c r="D66" s="69">
        <f t="shared" si="14"/>
        <v>173.64375000000001</v>
      </c>
      <c r="E66" s="10">
        <f t="shared" si="14"/>
        <v>182.32593750000001</v>
      </c>
      <c r="F66" s="69">
        <f t="shared" si="14"/>
        <v>191.442234375</v>
      </c>
      <c r="G66" s="70">
        <f t="shared" si="14"/>
        <v>201.01434609374999</v>
      </c>
      <c r="H66" s="71">
        <f t="shared" si="14"/>
        <v>211.0650633984375</v>
      </c>
      <c r="I66" s="10">
        <f t="shared" si="14"/>
        <v>221.61831656835938</v>
      </c>
      <c r="J66" s="69">
        <f t="shared" si="14"/>
        <v>232.69923239677735</v>
      </c>
      <c r="K66" s="10">
        <f t="shared" si="14"/>
        <v>244.33419401661621</v>
      </c>
      <c r="L66" s="69">
        <f t="shared" si="14"/>
        <v>256.550903717447</v>
      </c>
      <c r="M66" s="70">
        <f t="shared" si="14"/>
        <v>269.37844890331934</v>
      </c>
      <c r="N66" s="71">
        <f t="shared" si="14"/>
        <v>282.8473713484853</v>
      </c>
      <c r="O66" s="10">
        <f t="shared" si="14"/>
        <v>296.98973991590958</v>
      </c>
      <c r="P66" s="69">
        <f t="shared" si="14"/>
        <v>311.83922691170505</v>
      </c>
      <c r="Q66" s="10">
        <f t="shared" si="14"/>
        <v>327.43118825729033</v>
      </c>
      <c r="R66" s="69">
        <f t="shared" si="13"/>
        <v>343.80274767015487</v>
      </c>
      <c r="S66" s="70">
        <f t="shared" si="13"/>
        <v>360.99288505366263</v>
      </c>
      <c r="T66" s="11">
        <f t="shared" si="13"/>
        <v>379.04252930634578</v>
      </c>
      <c r="U66" s="12">
        <f t="shared" si="13"/>
        <v>397.99465577166308</v>
      </c>
      <c r="V66" s="13">
        <f t="shared" si="13"/>
        <v>417.89438856024623</v>
      </c>
      <c r="W66" s="12">
        <f t="shared" si="13"/>
        <v>438.78910798825854</v>
      </c>
      <c r="X66" s="13">
        <f t="shared" si="13"/>
        <v>460.72856338767144</v>
      </c>
      <c r="Y66" s="12">
        <f t="shared" si="13"/>
        <v>483.764991557055</v>
      </c>
      <c r="Z66" s="14">
        <f t="shared" si="13"/>
        <v>507.95324113490773</v>
      </c>
    </row>
    <row r="67" spans="1:26" x14ac:dyDescent="0.2">
      <c r="A67" s="23">
        <v>36678</v>
      </c>
      <c r="B67" s="71">
        <v>157.5</v>
      </c>
      <c r="C67" s="10">
        <f t="shared" si="14"/>
        <v>165.375</v>
      </c>
      <c r="D67" s="69">
        <f t="shared" si="14"/>
        <v>173.64375000000001</v>
      </c>
      <c r="E67" s="10">
        <f t="shared" si="14"/>
        <v>182.32593750000001</v>
      </c>
      <c r="F67" s="69">
        <f t="shared" si="14"/>
        <v>191.442234375</v>
      </c>
      <c r="G67" s="70">
        <f t="shared" si="14"/>
        <v>201.01434609374999</v>
      </c>
      <c r="H67" s="71">
        <f t="shared" si="14"/>
        <v>211.0650633984375</v>
      </c>
      <c r="I67" s="10">
        <f t="shared" si="14"/>
        <v>221.61831656835938</v>
      </c>
      <c r="J67" s="69">
        <f t="shared" si="14"/>
        <v>232.69923239677735</v>
      </c>
      <c r="K67" s="10">
        <f t="shared" si="14"/>
        <v>244.33419401661621</v>
      </c>
      <c r="L67" s="69">
        <f t="shared" si="14"/>
        <v>256.550903717447</v>
      </c>
      <c r="M67" s="70">
        <f t="shared" si="14"/>
        <v>269.37844890331934</v>
      </c>
      <c r="N67" s="71">
        <f t="shared" si="14"/>
        <v>282.8473713484853</v>
      </c>
      <c r="O67" s="10">
        <f t="shared" si="14"/>
        <v>296.98973991590958</v>
      </c>
      <c r="P67" s="69">
        <f t="shared" si="14"/>
        <v>311.83922691170505</v>
      </c>
      <c r="Q67" s="10">
        <f t="shared" si="14"/>
        <v>327.43118825729033</v>
      </c>
      <c r="R67" s="69">
        <f t="shared" si="13"/>
        <v>343.80274767015487</v>
      </c>
      <c r="S67" s="70">
        <f t="shared" si="13"/>
        <v>360.99288505366263</v>
      </c>
      <c r="T67" s="11">
        <f t="shared" si="13"/>
        <v>379.04252930634578</v>
      </c>
      <c r="U67" s="12">
        <f t="shared" si="13"/>
        <v>397.99465577166308</v>
      </c>
      <c r="V67" s="13">
        <f t="shared" si="13"/>
        <v>417.89438856024623</v>
      </c>
      <c r="W67" s="12">
        <f t="shared" si="13"/>
        <v>438.78910798825854</v>
      </c>
      <c r="X67" s="13">
        <f t="shared" si="13"/>
        <v>460.72856338767144</v>
      </c>
      <c r="Y67" s="12">
        <f t="shared" si="13"/>
        <v>483.764991557055</v>
      </c>
      <c r="Z67" s="14">
        <f t="shared" si="13"/>
        <v>507.95324113490773</v>
      </c>
    </row>
    <row r="68" spans="1:26" x14ac:dyDescent="0.2">
      <c r="A68" s="23">
        <v>36708</v>
      </c>
      <c r="B68" s="71">
        <v>157.5</v>
      </c>
      <c r="C68" s="10">
        <f t="shared" si="14"/>
        <v>165.375</v>
      </c>
      <c r="D68" s="69">
        <f t="shared" si="14"/>
        <v>173.64375000000001</v>
      </c>
      <c r="E68" s="10">
        <f t="shared" si="14"/>
        <v>182.32593750000001</v>
      </c>
      <c r="F68" s="69">
        <f t="shared" si="14"/>
        <v>191.442234375</v>
      </c>
      <c r="G68" s="70">
        <f t="shared" si="14"/>
        <v>201.01434609374999</v>
      </c>
      <c r="H68" s="71">
        <f t="shared" si="14"/>
        <v>211.0650633984375</v>
      </c>
      <c r="I68" s="10">
        <f t="shared" si="14"/>
        <v>221.61831656835938</v>
      </c>
      <c r="J68" s="69">
        <f t="shared" si="14"/>
        <v>232.69923239677735</v>
      </c>
      <c r="K68" s="10">
        <f t="shared" si="14"/>
        <v>244.33419401661621</v>
      </c>
      <c r="L68" s="69">
        <f t="shared" si="14"/>
        <v>256.550903717447</v>
      </c>
      <c r="M68" s="70">
        <f t="shared" si="14"/>
        <v>269.37844890331934</v>
      </c>
      <c r="N68" s="71">
        <f t="shared" si="14"/>
        <v>282.8473713484853</v>
      </c>
      <c r="O68" s="10">
        <f t="shared" si="14"/>
        <v>296.98973991590958</v>
      </c>
      <c r="P68" s="69">
        <f t="shared" si="14"/>
        <v>311.83922691170505</v>
      </c>
      <c r="Q68" s="10">
        <f t="shared" si="14"/>
        <v>327.43118825729033</v>
      </c>
      <c r="R68" s="69">
        <f t="shared" si="14"/>
        <v>343.80274767015487</v>
      </c>
      <c r="S68" s="70">
        <f t="shared" ref="R68:Z83" si="15">(R68*0.05)+R68</f>
        <v>360.99288505366263</v>
      </c>
      <c r="T68" s="11">
        <f t="shared" si="15"/>
        <v>379.04252930634578</v>
      </c>
      <c r="U68" s="12">
        <f t="shared" si="15"/>
        <v>397.99465577166308</v>
      </c>
      <c r="V68" s="13">
        <f t="shared" si="15"/>
        <v>417.89438856024623</v>
      </c>
      <c r="W68" s="12">
        <f t="shared" si="15"/>
        <v>438.78910798825854</v>
      </c>
      <c r="X68" s="13">
        <f t="shared" si="15"/>
        <v>460.72856338767144</v>
      </c>
      <c r="Y68" s="12">
        <f t="shared" si="15"/>
        <v>483.764991557055</v>
      </c>
      <c r="Z68" s="14">
        <f t="shared" si="15"/>
        <v>507.95324113490773</v>
      </c>
    </row>
    <row r="69" spans="1:26" x14ac:dyDescent="0.2">
      <c r="A69" s="23">
        <v>36739</v>
      </c>
      <c r="B69" s="71">
        <v>157.5</v>
      </c>
      <c r="C69" s="10">
        <f t="shared" ref="C69:R84" si="16">(B69*0.05)+B69</f>
        <v>165.375</v>
      </c>
      <c r="D69" s="69">
        <f t="shared" si="16"/>
        <v>173.64375000000001</v>
      </c>
      <c r="E69" s="10">
        <f t="shared" si="16"/>
        <v>182.32593750000001</v>
      </c>
      <c r="F69" s="69">
        <f t="shared" si="16"/>
        <v>191.442234375</v>
      </c>
      <c r="G69" s="70">
        <f t="shared" si="16"/>
        <v>201.01434609374999</v>
      </c>
      <c r="H69" s="71">
        <f t="shared" si="16"/>
        <v>211.0650633984375</v>
      </c>
      <c r="I69" s="10">
        <f t="shared" si="16"/>
        <v>221.61831656835938</v>
      </c>
      <c r="J69" s="69">
        <f t="shared" si="16"/>
        <v>232.69923239677735</v>
      </c>
      <c r="K69" s="10">
        <f t="shared" si="16"/>
        <v>244.33419401661621</v>
      </c>
      <c r="L69" s="69">
        <f t="shared" si="16"/>
        <v>256.550903717447</v>
      </c>
      <c r="M69" s="70">
        <f t="shared" si="16"/>
        <v>269.37844890331934</v>
      </c>
      <c r="N69" s="71">
        <f t="shared" si="16"/>
        <v>282.8473713484853</v>
      </c>
      <c r="O69" s="10">
        <f t="shared" si="16"/>
        <v>296.98973991590958</v>
      </c>
      <c r="P69" s="69">
        <f t="shared" si="16"/>
        <v>311.83922691170505</v>
      </c>
      <c r="Q69" s="10">
        <f t="shared" si="16"/>
        <v>327.43118825729033</v>
      </c>
      <c r="R69" s="69">
        <f t="shared" si="15"/>
        <v>343.80274767015487</v>
      </c>
      <c r="S69" s="70">
        <f t="shared" si="15"/>
        <v>360.99288505366263</v>
      </c>
      <c r="T69" s="11">
        <f t="shared" si="15"/>
        <v>379.04252930634578</v>
      </c>
      <c r="U69" s="12">
        <f t="shared" si="15"/>
        <v>397.99465577166308</v>
      </c>
      <c r="V69" s="13">
        <f t="shared" si="15"/>
        <v>417.89438856024623</v>
      </c>
      <c r="W69" s="12">
        <f t="shared" si="15"/>
        <v>438.78910798825854</v>
      </c>
      <c r="X69" s="13">
        <f t="shared" si="15"/>
        <v>460.72856338767144</v>
      </c>
      <c r="Y69" s="12">
        <f t="shared" si="15"/>
        <v>483.764991557055</v>
      </c>
      <c r="Z69" s="14">
        <f t="shared" si="15"/>
        <v>507.95324113490773</v>
      </c>
    </row>
    <row r="70" spans="1:26" x14ac:dyDescent="0.2">
      <c r="A70" s="23">
        <v>36770</v>
      </c>
      <c r="B70" s="71">
        <v>157.5</v>
      </c>
      <c r="C70" s="10">
        <f t="shared" si="16"/>
        <v>165.375</v>
      </c>
      <c r="D70" s="69">
        <f t="shared" si="16"/>
        <v>173.64375000000001</v>
      </c>
      <c r="E70" s="10">
        <f t="shared" si="16"/>
        <v>182.32593750000001</v>
      </c>
      <c r="F70" s="69">
        <f t="shared" si="16"/>
        <v>191.442234375</v>
      </c>
      <c r="G70" s="70">
        <f t="shared" si="16"/>
        <v>201.01434609374999</v>
      </c>
      <c r="H70" s="71">
        <f t="shared" si="16"/>
        <v>211.0650633984375</v>
      </c>
      <c r="I70" s="10">
        <f t="shared" si="16"/>
        <v>221.61831656835938</v>
      </c>
      <c r="J70" s="69">
        <f t="shared" si="16"/>
        <v>232.69923239677735</v>
      </c>
      <c r="K70" s="10">
        <f t="shared" si="16"/>
        <v>244.33419401661621</v>
      </c>
      <c r="L70" s="69">
        <f t="shared" si="16"/>
        <v>256.550903717447</v>
      </c>
      <c r="M70" s="70">
        <f t="shared" si="16"/>
        <v>269.37844890331934</v>
      </c>
      <c r="N70" s="71">
        <f t="shared" si="16"/>
        <v>282.8473713484853</v>
      </c>
      <c r="O70" s="10">
        <f t="shared" si="16"/>
        <v>296.98973991590958</v>
      </c>
      <c r="P70" s="69">
        <f t="shared" si="16"/>
        <v>311.83922691170505</v>
      </c>
      <c r="Q70" s="10">
        <f t="shared" si="16"/>
        <v>327.43118825729033</v>
      </c>
      <c r="R70" s="69">
        <f t="shared" si="15"/>
        <v>343.80274767015487</v>
      </c>
      <c r="S70" s="70">
        <f t="shared" si="15"/>
        <v>360.99288505366263</v>
      </c>
      <c r="T70" s="11">
        <f t="shared" si="15"/>
        <v>379.04252930634578</v>
      </c>
      <c r="U70" s="12">
        <f t="shared" si="15"/>
        <v>397.99465577166308</v>
      </c>
      <c r="V70" s="13">
        <f t="shared" si="15"/>
        <v>417.89438856024623</v>
      </c>
      <c r="W70" s="12">
        <f t="shared" si="15"/>
        <v>438.78910798825854</v>
      </c>
      <c r="X70" s="13">
        <f t="shared" si="15"/>
        <v>460.72856338767144</v>
      </c>
      <c r="Y70" s="12">
        <f t="shared" si="15"/>
        <v>483.764991557055</v>
      </c>
      <c r="Z70" s="14">
        <f t="shared" si="15"/>
        <v>507.95324113490773</v>
      </c>
    </row>
    <row r="71" spans="1:26" x14ac:dyDescent="0.2">
      <c r="A71" s="23">
        <v>36800</v>
      </c>
      <c r="B71" s="71">
        <v>157.5</v>
      </c>
      <c r="C71" s="10">
        <f t="shared" si="16"/>
        <v>165.375</v>
      </c>
      <c r="D71" s="69">
        <f t="shared" si="16"/>
        <v>173.64375000000001</v>
      </c>
      <c r="E71" s="10">
        <f t="shared" si="16"/>
        <v>182.32593750000001</v>
      </c>
      <c r="F71" s="69">
        <f t="shared" si="16"/>
        <v>191.442234375</v>
      </c>
      <c r="G71" s="70">
        <f t="shared" si="16"/>
        <v>201.01434609374999</v>
      </c>
      <c r="H71" s="71">
        <f t="shared" si="16"/>
        <v>211.0650633984375</v>
      </c>
      <c r="I71" s="10">
        <f t="shared" si="16"/>
        <v>221.61831656835938</v>
      </c>
      <c r="J71" s="69">
        <f t="shared" si="16"/>
        <v>232.69923239677735</v>
      </c>
      <c r="K71" s="10">
        <f t="shared" si="16"/>
        <v>244.33419401661621</v>
      </c>
      <c r="L71" s="69">
        <f t="shared" si="16"/>
        <v>256.550903717447</v>
      </c>
      <c r="M71" s="70">
        <f t="shared" si="16"/>
        <v>269.37844890331934</v>
      </c>
      <c r="N71" s="71">
        <f t="shared" si="16"/>
        <v>282.8473713484853</v>
      </c>
      <c r="O71" s="10">
        <f t="shared" si="16"/>
        <v>296.98973991590958</v>
      </c>
      <c r="P71" s="69">
        <f t="shared" si="16"/>
        <v>311.83922691170505</v>
      </c>
      <c r="Q71" s="10">
        <f t="shared" si="16"/>
        <v>327.43118825729033</v>
      </c>
      <c r="R71" s="69">
        <f t="shared" si="15"/>
        <v>343.80274767015487</v>
      </c>
      <c r="S71" s="70">
        <f t="shared" si="15"/>
        <v>360.99288505366263</v>
      </c>
      <c r="T71" s="11">
        <f t="shared" si="15"/>
        <v>379.04252930634578</v>
      </c>
      <c r="U71" s="12">
        <f t="shared" si="15"/>
        <v>397.99465577166308</v>
      </c>
      <c r="V71" s="13">
        <f t="shared" si="15"/>
        <v>417.89438856024623</v>
      </c>
      <c r="W71" s="12">
        <f t="shared" si="15"/>
        <v>438.78910798825854</v>
      </c>
      <c r="X71" s="13">
        <f t="shared" si="15"/>
        <v>460.72856338767144</v>
      </c>
      <c r="Y71" s="12">
        <f t="shared" si="15"/>
        <v>483.764991557055</v>
      </c>
      <c r="Z71" s="14">
        <f t="shared" si="15"/>
        <v>507.95324113490773</v>
      </c>
    </row>
    <row r="72" spans="1:26" x14ac:dyDescent="0.2">
      <c r="A72" s="23">
        <v>36831</v>
      </c>
      <c r="B72" s="71">
        <v>157.5</v>
      </c>
      <c r="C72" s="10">
        <f t="shared" si="16"/>
        <v>165.375</v>
      </c>
      <c r="D72" s="69">
        <f t="shared" si="16"/>
        <v>173.64375000000001</v>
      </c>
      <c r="E72" s="10">
        <f t="shared" si="16"/>
        <v>182.32593750000001</v>
      </c>
      <c r="F72" s="69">
        <f t="shared" si="16"/>
        <v>191.442234375</v>
      </c>
      <c r="G72" s="70">
        <f t="shared" si="16"/>
        <v>201.01434609374999</v>
      </c>
      <c r="H72" s="71">
        <f t="shared" si="16"/>
        <v>211.0650633984375</v>
      </c>
      <c r="I72" s="10">
        <f t="shared" si="16"/>
        <v>221.61831656835938</v>
      </c>
      <c r="J72" s="69">
        <f t="shared" si="16"/>
        <v>232.69923239677735</v>
      </c>
      <c r="K72" s="10">
        <f t="shared" si="16"/>
        <v>244.33419401661621</v>
      </c>
      <c r="L72" s="69">
        <f t="shared" si="16"/>
        <v>256.550903717447</v>
      </c>
      <c r="M72" s="70">
        <f t="shared" si="16"/>
        <v>269.37844890331934</v>
      </c>
      <c r="N72" s="71">
        <f t="shared" si="16"/>
        <v>282.8473713484853</v>
      </c>
      <c r="O72" s="10">
        <f t="shared" si="16"/>
        <v>296.98973991590958</v>
      </c>
      <c r="P72" s="69">
        <f t="shared" si="16"/>
        <v>311.83922691170505</v>
      </c>
      <c r="Q72" s="10">
        <f t="shared" si="16"/>
        <v>327.43118825729033</v>
      </c>
      <c r="R72" s="69">
        <f t="shared" si="15"/>
        <v>343.80274767015487</v>
      </c>
      <c r="S72" s="70">
        <f t="shared" si="15"/>
        <v>360.99288505366263</v>
      </c>
      <c r="T72" s="11">
        <f t="shared" si="15"/>
        <v>379.04252930634578</v>
      </c>
      <c r="U72" s="12">
        <f t="shared" si="15"/>
        <v>397.99465577166308</v>
      </c>
      <c r="V72" s="13">
        <f t="shared" si="15"/>
        <v>417.89438856024623</v>
      </c>
      <c r="W72" s="12">
        <f t="shared" si="15"/>
        <v>438.78910798825854</v>
      </c>
      <c r="X72" s="13">
        <f t="shared" si="15"/>
        <v>460.72856338767144</v>
      </c>
      <c r="Y72" s="12">
        <f t="shared" si="15"/>
        <v>483.764991557055</v>
      </c>
      <c r="Z72" s="14">
        <f t="shared" si="15"/>
        <v>507.95324113490773</v>
      </c>
    </row>
    <row r="73" spans="1:26" x14ac:dyDescent="0.2">
      <c r="A73" s="23">
        <v>36861</v>
      </c>
      <c r="B73" s="71">
        <v>157.5</v>
      </c>
      <c r="C73" s="10">
        <f t="shared" si="16"/>
        <v>165.375</v>
      </c>
      <c r="D73" s="69">
        <f t="shared" si="16"/>
        <v>173.64375000000001</v>
      </c>
      <c r="E73" s="10">
        <f t="shared" si="16"/>
        <v>182.32593750000001</v>
      </c>
      <c r="F73" s="69">
        <f t="shared" si="16"/>
        <v>191.442234375</v>
      </c>
      <c r="G73" s="70">
        <f t="shared" si="16"/>
        <v>201.01434609374999</v>
      </c>
      <c r="H73" s="71">
        <f t="shared" si="16"/>
        <v>211.0650633984375</v>
      </c>
      <c r="I73" s="10">
        <f t="shared" si="16"/>
        <v>221.61831656835938</v>
      </c>
      <c r="J73" s="69">
        <f t="shared" si="16"/>
        <v>232.69923239677735</v>
      </c>
      <c r="K73" s="10">
        <f t="shared" si="16"/>
        <v>244.33419401661621</v>
      </c>
      <c r="L73" s="69">
        <f t="shared" si="16"/>
        <v>256.550903717447</v>
      </c>
      <c r="M73" s="70">
        <f t="shared" si="16"/>
        <v>269.37844890331934</v>
      </c>
      <c r="N73" s="71">
        <f t="shared" si="16"/>
        <v>282.8473713484853</v>
      </c>
      <c r="O73" s="10">
        <f t="shared" si="16"/>
        <v>296.98973991590958</v>
      </c>
      <c r="P73" s="69">
        <f t="shared" si="16"/>
        <v>311.83922691170505</v>
      </c>
      <c r="Q73" s="10">
        <f t="shared" si="16"/>
        <v>327.43118825729033</v>
      </c>
      <c r="R73" s="69">
        <f t="shared" si="15"/>
        <v>343.80274767015487</v>
      </c>
      <c r="S73" s="70">
        <f t="shared" si="15"/>
        <v>360.99288505366263</v>
      </c>
      <c r="T73" s="11">
        <f t="shared" si="15"/>
        <v>379.04252930634578</v>
      </c>
      <c r="U73" s="12">
        <f t="shared" si="15"/>
        <v>397.99465577166308</v>
      </c>
      <c r="V73" s="13">
        <f t="shared" si="15"/>
        <v>417.89438856024623</v>
      </c>
      <c r="W73" s="12">
        <f t="shared" si="15"/>
        <v>438.78910798825854</v>
      </c>
      <c r="X73" s="13">
        <f t="shared" si="15"/>
        <v>460.72856338767144</v>
      </c>
      <c r="Y73" s="12">
        <f t="shared" si="15"/>
        <v>483.764991557055</v>
      </c>
      <c r="Z73" s="14">
        <f t="shared" si="15"/>
        <v>507.95324113490773</v>
      </c>
    </row>
    <row r="74" spans="1:26" x14ac:dyDescent="0.2">
      <c r="A74" s="23">
        <v>36892</v>
      </c>
      <c r="B74" s="71">
        <v>180</v>
      </c>
      <c r="C74" s="10">
        <f t="shared" si="16"/>
        <v>189</v>
      </c>
      <c r="D74" s="69">
        <f t="shared" si="16"/>
        <v>198.45</v>
      </c>
      <c r="E74" s="10">
        <f t="shared" si="16"/>
        <v>208.3725</v>
      </c>
      <c r="F74" s="69">
        <f t="shared" si="16"/>
        <v>218.79112499999999</v>
      </c>
      <c r="G74" s="70">
        <f t="shared" si="16"/>
        <v>229.73068125</v>
      </c>
      <c r="H74" s="71">
        <f t="shared" si="16"/>
        <v>241.2172153125</v>
      </c>
      <c r="I74" s="10">
        <f t="shared" si="16"/>
        <v>253.278076078125</v>
      </c>
      <c r="J74" s="69">
        <f t="shared" si="16"/>
        <v>265.94197988203126</v>
      </c>
      <c r="K74" s="10">
        <f t="shared" si="16"/>
        <v>279.23907887613285</v>
      </c>
      <c r="L74" s="69">
        <f t="shared" si="16"/>
        <v>293.20103281993948</v>
      </c>
      <c r="M74" s="70">
        <f t="shared" si="16"/>
        <v>307.86108446093647</v>
      </c>
      <c r="N74" s="71">
        <f t="shared" si="16"/>
        <v>323.25413868398329</v>
      </c>
      <c r="O74" s="10">
        <f t="shared" si="16"/>
        <v>339.41684561818244</v>
      </c>
      <c r="P74" s="69">
        <f t="shared" si="16"/>
        <v>356.38768789909153</v>
      </c>
      <c r="Q74" s="10">
        <f t="shared" si="16"/>
        <v>374.2070722940461</v>
      </c>
      <c r="R74" s="69">
        <f t="shared" si="16"/>
        <v>392.91742590874838</v>
      </c>
      <c r="S74" s="70">
        <f t="shared" si="15"/>
        <v>412.5632972041858</v>
      </c>
      <c r="T74" s="11">
        <f t="shared" si="15"/>
        <v>433.19146206439507</v>
      </c>
      <c r="U74" s="12">
        <f t="shared" si="15"/>
        <v>454.85103516761484</v>
      </c>
      <c r="V74" s="13">
        <f t="shared" si="15"/>
        <v>477.59358692599557</v>
      </c>
      <c r="W74" s="12">
        <f t="shared" si="15"/>
        <v>501.47326627229535</v>
      </c>
      <c r="X74" s="13">
        <f t="shared" si="15"/>
        <v>526.54692958591011</v>
      </c>
      <c r="Y74" s="12">
        <f t="shared" si="15"/>
        <v>552.87427606520566</v>
      </c>
      <c r="Z74" s="14">
        <f t="shared" si="15"/>
        <v>580.51798986846597</v>
      </c>
    </row>
    <row r="75" spans="1:26" x14ac:dyDescent="0.2">
      <c r="A75" s="23">
        <v>36923</v>
      </c>
      <c r="B75" s="71">
        <v>180</v>
      </c>
      <c r="C75" s="10">
        <f t="shared" si="16"/>
        <v>189</v>
      </c>
      <c r="D75" s="69">
        <f t="shared" si="16"/>
        <v>198.45</v>
      </c>
      <c r="E75" s="10">
        <f t="shared" si="16"/>
        <v>208.3725</v>
      </c>
      <c r="F75" s="69">
        <f t="shared" si="16"/>
        <v>218.79112499999999</v>
      </c>
      <c r="G75" s="70">
        <f t="shared" si="16"/>
        <v>229.73068125</v>
      </c>
      <c r="H75" s="71">
        <f t="shared" si="16"/>
        <v>241.2172153125</v>
      </c>
      <c r="I75" s="10">
        <f t="shared" si="16"/>
        <v>253.278076078125</v>
      </c>
      <c r="J75" s="69">
        <f t="shared" si="16"/>
        <v>265.94197988203126</v>
      </c>
      <c r="K75" s="10">
        <f t="shared" si="16"/>
        <v>279.23907887613285</v>
      </c>
      <c r="L75" s="69">
        <f t="shared" si="16"/>
        <v>293.20103281993948</v>
      </c>
      <c r="M75" s="70">
        <f t="shared" si="16"/>
        <v>307.86108446093647</v>
      </c>
      <c r="N75" s="71">
        <f t="shared" si="16"/>
        <v>323.25413868398329</v>
      </c>
      <c r="O75" s="10">
        <f t="shared" si="16"/>
        <v>339.41684561818244</v>
      </c>
      <c r="P75" s="69">
        <f t="shared" si="16"/>
        <v>356.38768789909153</v>
      </c>
      <c r="Q75" s="10">
        <f t="shared" si="16"/>
        <v>374.2070722940461</v>
      </c>
      <c r="R75" s="69">
        <f t="shared" si="16"/>
        <v>392.91742590874838</v>
      </c>
      <c r="S75" s="70">
        <f t="shared" si="15"/>
        <v>412.5632972041858</v>
      </c>
      <c r="T75" s="11">
        <f t="shared" si="15"/>
        <v>433.19146206439507</v>
      </c>
      <c r="U75" s="12">
        <f t="shared" si="15"/>
        <v>454.85103516761484</v>
      </c>
      <c r="V75" s="13">
        <f t="shared" si="15"/>
        <v>477.59358692599557</v>
      </c>
      <c r="W75" s="12">
        <f t="shared" si="15"/>
        <v>501.47326627229535</v>
      </c>
      <c r="X75" s="13">
        <f t="shared" si="15"/>
        <v>526.54692958591011</v>
      </c>
      <c r="Y75" s="12">
        <f t="shared" si="15"/>
        <v>552.87427606520566</v>
      </c>
      <c r="Z75" s="14">
        <f t="shared" si="15"/>
        <v>580.51798986846597</v>
      </c>
    </row>
    <row r="76" spans="1:26" x14ac:dyDescent="0.2">
      <c r="A76" s="23">
        <v>36951</v>
      </c>
      <c r="B76" s="71">
        <v>180</v>
      </c>
      <c r="C76" s="10">
        <f t="shared" si="16"/>
        <v>189</v>
      </c>
      <c r="D76" s="69">
        <f t="shared" si="16"/>
        <v>198.45</v>
      </c>
      <c r="E76" s="10">
        <f t="shared" si="16"/>
        <v>208.3725</v>
      </c>
      <c r="F76" s="69">
        <f t="shared" si="16"/>
        <v>218.79112499999999</v>
      </c>
      <c r="G76" s="70">
        <f t="shared" si="16"/>
        <v>229.73068125</v>
      </c>
      <c r="H76" s="71">
        <f t="shared" si="16"/>
        <v>241.2172153125</v>
      </c>
      <c r="I76" s="10">
        <f t="shared" si="16"/>
        <v>253.278076078125</v>
      </c>
      <c r="J76" s="69">
        <f t="shared" si="16"/>
        <v>265.94197988203126</v>
      </c>
      <c r="K76" s="10">
        <f t="shared" si="16"/>
        <v>279.23907887613285</v>
      </c>
      <c r="L76" s="69">
        <f t="shared" si="16"/>
        <v>293.20103281993948</v>
      </c>
      <c r="M76" s="70">
        <f t="shared" si="16"/>
        <v>307.86108446093647</v>
      </c>
      <c r="N76" s="71">
        <f t="shared" si="16"/>
        <v>323.25413868398329</v>
      </c>
      <c r="O76" s="10">
        <f t="shared" si="16"/>
        <v>339.41684561818244</v>
      </c>
      <c r="P76" s="69">
        <f t="shared" si="16"/>
        <v>356.38768789909153</v>
      </c>
      <c r="Q76" s="10">
        <f t="shared" si="16"/>
        <v>374.2070722940461</v>
      </c>
      <c r="R76" s="69">
        <f t="shared" si="16"/>
        <v>392.91742590874838</v>
      </c>
      <c r="S76" s="70">
        <f t="shared" si="15"/>
        <v>412.5632972041858</v>
      </c>
      <c r="T76" s="11">
        <f t="shared" si="15"/>
        <v>433.19146206439507</v>
      </c>
      <c r="U76" s="12">
        <f t="shared" si="15"/>
        <v>454.85103516761484</v>
      </c>
      <c r="V76" s="13">
        <f t="shared" si="15"/>
        <v>477.59358692599557</v>
      </c>
      <c r="W76" s="12">
        <f t="shared" si="15"/>
        <v>501.47326627229535</v>
      </c>
      <c r="X76" s="13">
        <f t="shared" si="15"/>
        <v>526.54692958591011</v>
      </c>
      <c r="Y76" s="12">
        <f t="shared" si="15"/>
        <v>552.87427606520566</v>
      </c>
      <c r="Z76" s="14">
        <f t="shared" si="15"/>
        <v>580.51798986846597</v>
      </c>
    </row>
    <row r="77" spans="1:26" x14ac:dyDescent="0.2">
      <c r="A77" s="23">
        <v>36982</v>
      </c>
      <c r="B77" s="71">
        <v>180</v>
      </c>
      <c r="C77" s="10">
        <f t="shared" si="16"/>
        <v>189</v>
      </c>
      <c r="D77" s="69">
        <f t="shared" si="16"/>
        <v>198.45</v>
      </c>
      <c r="E77" s="10">
        <f t="shared" si="16"/>
        <v>208.3725</v>
      </c>
      <c r="F77" s="69">
        <f t="shared" si="16"/>
        <v>218.79112499999999</v>
      </c>
      <c r="G77" s="70">
        <f t="shared" si="16"/>
        <v>229.73068125</v>
      </c>
      <c r="H77" s="71">
        <f t="shared" si="16"/>
        <v>241.2172153125</v>
      </c>
      <c r="I77" s="10">
        <f t="shared" si="16"/>
        <v>253.278076078125</v>
      </c>
      <c r="J77" s="69">
        <f t="shared" si="16"/>
        <v>265.94197988203126</v>
      </c>
      <c r="K77" s="10">
        <f t="shared" si="16"/>
        <v>279.23907887613285</v>
      </c>
      <c r="L77" s="69">
        <f t="shared" si="16"/>
        <v>293.20103281993948</v>
      </c>
      <c r="M77" s="70">
        <f t="shared" si="16"/>
        <v>307.86108446093647</v>
      </c>
      <c r="N77" s="71">
        <f t="shared" si="16"/>
        <v>323.25413868398329</v>
      </c>
      <c r="O77" s="10">
        <f t="shared" si="16"/>
        <v>339.41684561818244</v>
      </c>
      <c r="P77" s="69">
        <f t="shared" si="16"/>
        <v>356.38768789909153</v>
      </c>
      <c r="Q77" s="10">
        <f t="shared" si="16"/>
        <v>374.2070722940461</v>
      </c>
      <c r="R77" s="69">
        <f t="shared" si="16"/>
        <v>392.91742590874838</v>
      </c>
      <c r="S77" s="70">
        <f t="shared" si="15"/>
        <v>412.5632972041858</v>
      </c>
      <c r="T77" s="11">
        <f t="shared" si="15"/>
        <v>433.19146206439507</v>
      </c>
      <c r="U77" s="12">
        <f t="shared" si="15"/>
        <v>454.85103516761484</v>
      </c>
      <c r="V77" s="13">
        <f t="shared" si="15"/>
        <v>477.59358692599557</v>
      </c>
      <c r="W77" s="12">
        <f t="shared" si="15"/>
        <v>501.47326627229535</v>
      </c>
      <c r="X77" s="13">
        <f t="shared" si="15"/>
        <v>526.54692958591011</v>
      </c>
      <c r="Y77" s="12">
        <f t="shared" si="15"/>
        <v>552.87427606520566</v>
      </c>
      <c r="Z77" s="14">
        <f t="shared" si="15"/>
        <v>580.51798986846597</v>
      </c>
    </row>
    <row r="78" spans="1:26" x14ac:dyDescent="0.2">
      <c r="A78" s="23">
        <v>37012</v>
      </c>
      <c r="B78" s="71">
        <v>180</v>
      </c>
      <c r="C78" s="10">
        <f t="shared" si="16"/>
        <v>189</v>
      </c>
      <c r="D78" s="69">
        <f t="shared" si="16"/>
        <v>198.45</v>
      </c>
      <c r="E78" s="10">
        <f t="shared" si="16"/>
        <v>208.3725</v>
      </c>
      <c r="F78" s="69">
        <f t="shared" si="16"/>
        <v>218.79112499999999</v>
      </c>
      <c r="G78" s="70">
        <f t="shared" si="16"/>
        <v>229.73068125</v>
      </c>
      <c r="H78" s="71">
        <f t="shared" si="16"/>
        <v>241.2172153125</v>
      </c>
      <c r="I78" s="10">
        <f t="shared" si="16"/>
        <v>253.278076078125</v>
      </c>
      <c r="J78" s="69">
        <f t="shared" si="16"/>
        <v>265.94197988203126</v>
      </c>
      <c r="K78" s="10">
        <f t="shared" si="16"/>
        <v>279.23907887613285</v>
      </c>
      <c r="L78" s="69">
        <f t="shared" si="16"/>
        <v>293.20103281993948</v>
      </c>
      <c r="M78" s="70">
        <f t="shared" si="16"/>
        <v>307.86108446093647</v>
      </c>
      <c r="N78" s="71">
        <f t="shared" si="16"/>
        <v>323.25413868398329</v>
      </c>
      <c r="O78" s="10">
        <f t="shared" si="16"/>
        <v>339.41684561818244</v>
      </c>
      <c r="P78" s="69">
        <f t="shared" si="16"/>
        <v>356.38768789909153</v>
      </c>
      <c r="Q78" s="10">
        <f t="shared" si="16"/>
        <v>374.2070722940461</v>
      </c>
      <c r="R78" s="69">
        <f t="shared" si="16"/>
        <v>392.91742590874838</v>
      </c>
      <c r="S78" s="70">
        <f t="shared" si="15"/>
        <v>412.5632972041858</v>
      </c>
      <c r="T78" s="11">
        <f t="shared" si="15"/>
        <v>433.19146206439507</v>
      </c>
      <c r="U78" s="12">
        <f t="shared" si="15"/>
        <v>454.85103516761484</v>
      </c>
      <c r="V78" s="13">
        <f t="shared" si="15"/>
        <v>477.59358692599557</v>
      </c>
      <c r="W78" s="12">
        <f t="shared" si="15"/>
        <v>501.47326627229535</v>
      </c>
      <c r="X78" s="13">
        <f t="shared" si="15"/>
        <v>526.54692958591011</v>
      </c>
      <c r="Y78" s="12">
        <f t="shared" si="15"/>
        <v>552.87427606520566</v>
      </c>
      <c r="Z78" s="14">
        <f t="shared" si="15"/>
        <v>580.51798986846597</v>
      </c>
    </row>
    <row r="79" spans="1:26" x14ac:dyDescent="0.2">
      <c r="A79" s="23">
        <v>37043</v>
      </c>
      <c r="B79" s="71">
        <v>180</v>
      </c>
      <c r="C79" s="10">
        <f t="shared" si="16"/>
        <v>189</v>
      </c>
      <c r="D79" s="69">
        <f t="shared" si="16"/>
        <v>198.45</v>
      </c>
      <c r="E79" s="10">
        <f t="shared" si="16"/>
        <v>208.3725</v>
      </c>
      <c r="F79" s="69">
        <f t="shared" si="16"/>
        <v>218.79112499999999</v>
      </c>
      <c r="G79" s="70">
        <f t="shared" si="16"/>
        <v>229.73068125</v>
      </c>
      <c r="H79" s="71">
        <f t="shared" si="16"/>
        <v>241.2172153125</v>
      </c>
      <c r="I79" s="10">
        <f t="shared" si="16"/>
        <v>253.278076078125</v>
      </c>
      <c r="J79" s="69">
        <f t="shared" si="16"/>
        <v>265.94197988203126</v>
      </c>
      <c r="K79" s="10">
        <f t="shared" si="16"/>
        <v>279.23907887613285</v>
      </c>
      <c r="L79" s="69">
        <f t="shared" si="16"/>
        <v>293.20103281993948</v>
      </c>
      <c r="M79" s="70">
        <f t="shared" si="16"/>
        <v>307.86108446093647</v>
      </c>
      <c r="N79" s="71">
        <f t="shared" si="16"/>
        <v>323.25413868398329</v>
      </c>
      <c r="O79" s="10">
        <f t="shared" si="16"/>
        <v>339.41684561818244</v>
      </c>
      <c r="P79" s="69">
        <f t="shared" si="16"/>
        <v>356.38768789909153</v>
      </c>
      <c r="Q79" s="10">
        <f t="shared" si="16"/>
        <v>374.2070722940461</v>
      </c>
      <c r="R79" s="69">
        <f t="shared" si="16"/>
        <v>392.91742590874838</v>
      </c>
      <c r="S79" s="70">
        <f t="shared" si="15"/>
        <v>412.5632972041858</v>
      </c>
      <c r="T79" s="11">
        <f t="shared" si="15"/>
        <v>433.19146206439507</v>
      </c>
      <c r="U79" s="12">
        <f t="shared" si="15"/>
        <v>454.85103516761484</v>
      </c>
      <c r="V79" s="13">
        <f t="shared" si="15"/>
        <v>477.59358692599557</v>
      </c>
      <c r="W79" s="12">
        <f t="shared" si="15"/>
        <v>501.47326627229535</v>
      </c>
      <c r="X79" s="13">
        <f t="shared" si="15"/>
        <v>526.54692958591011</v>
      </c>
      <c r="Y79" s="12">
        <f t="shared" si="15"/>
        <v>552.87427606520566</v>
      </c>
      <c r="Z79" s="14">
        <f t="shared" si="15"/>
        <v>580.51798986846597</v>
      </c>
    </row>
    <row r="80" spans="1:26" x14ac:dyDescent="0.2">
      <c r="A80" s="23">
        <v>37073</v>
      </c>
      <c r="B80" s="71">
        <v>180</v>
      </c>
      <c r="C80" s="10">
        <f t="shared" si="16"/>
        <v>189</v>
      </c>
      <c r="D80" s="69">
        <f t="shared" si="16"/>
        <v>198.45</v>
      </c>
      <c r="E80" s="10">
        <f t="shared" si="16"/>
        <v>208.3725</v>
      </c>
      <c r="F80" s="69">
        <f t="shared" si="16"/>
        <v>218.79112499999999</v>
      </c>
      <c r="G80" s="70">
        <f t="shared" si="16"/>
        <v>229.73068125</v>
      </c>
      <c r="H80" s="71">
        <f t="shared" si="16"/>
        <v>241.2172153125</v>
      </c>
      <c r="I80" s="10">
        <f t="shared" si="16"/>
        <v>253.278076078125</v>
      </c>
      <c r="J80" s="69">
        <f t="shared" si="16"/>
        <v>265.94197988203126</v>
      </c>
      <c r="K80" s="10">
        <f t="shared" si="16"/>
        <v>279.23907887613285</v>
      </c>
      <c r="L80" s="69">
        <f t="shared" si="16"/>
        <v>293.20103281993948</v>
      </c>
      <c r="M80" s="70">
        <f t="shared" si="16"/>
        <v>307.86108446093647</v>
      </c>
      <c r="N80" s="71">
        <f t="shared" si="16"/>
        <v>323.25413868398329</v>
      </c>
      <c r="O80" s="10">
        <f t="shared" si="16"/>
        <v>339.41684561818244</v>
      </c>
      <c r="P80" s="69">
        <f t="shared" si="16"/>
        <v>356.38768789909153</v>
      </c>
      <c r="Q80" s="10">
        <f t="shared" si="16"/>
        <v>374.2070722940461</v>
      </c>
      <c r="R80" s="69">
        <f t="shared" si="16"/>
        <v>392.91742590874838</v>
      </c>
      <c r="S80" s="70">
        <f t="shared" si="15"/>
        <v>412.5632972041858</v>
      </c>
      <c r="T80" s="11">
        <f t="shared" si="15"/>
        <v>433.19146206439507</v>
      </c>
      <c r="U80" s="12">
        <f t="shared" si="15"/>
        <v>454.85103516761484</v>
      </c>
      <c r="V80" s="13">
        <f t="shared" si="15"/>
        <v>477.59358692599557</v>
      </c>
      <c r="W80" s="12">
        <f t="shared" si="15"/>
        <v>501.47326627229535</v>
      </c>
      <c r="X80" s="13">
        <f t="shared" si="15"/>
        <v>526.54692958591011</v>
      </c>
      <c r="Y80" s="12">
        <f t="shared" si="15"/>
        <v>552.87427606520566</v>
      </c>
      <c r="Z80" s="14">
        <f t="shared" si="15"/>
        <v>580.51798986846597</v>
      </c>
    </row>
    <row r="81" spans="1:26" x14ac:dyDescent="0.2">
      <c r="A81" s="23">
        <v>37104</v>
      </c>
      <c r="B81" s="71">
        <v>180</v>
      </c>
      <c r="C81" s="10">
        <f t="shared" si="16"/>
        <v>189</v>
      </c>
      <c r="D81" s="69">
        <f t="shared" si="16"/>
        <v>198.45</v>
      </c>
      <c r="E81" s="10">
        <f t="shared" si="16"/>
        <v>208.3725</v>
      </c>
      <c r="F81" s="69">
        <f t="shared" si="16"/>
        <v>218.79112499999999</v>
      </c>
      <c r="G81" s="70">
        <f t="shared" si="16"/>
        <v>229.73068125</v>
      </c>
      <c r="H81" s="71">
        <f t="shared" si="16"/>
        <v>241.2172153125</v>
      </c>
      <c r="I81" s="10">
        <f t="shared" si="16"/>
        <v>253.278076078125</v>
      </c>
      <c r="J81" s="69">
        <f t="shared" si="16"/>
        <v>265.94197988203126</v>
      </c>
      <c r="K81" s="10">
        <f t="shared" si="16"/>
        <v>279.23907887613285</v>
      </c>
      <c r="L81" s="69">
        <f t="shared" si="16"/>
        <v>293.20103281993948</v>
      </c>
      <c r="M81" s="70">
        <f t="shared" si="16"/>
        <v>307.86108446093647</v>
      </c>
      <c r="N81" s="71">
        <f t="shared" si="16"/>
        <v>323.25413868398329</v>
      </c>
      <c r="O81" s="10">
        <f t="shared" si="16"/>
        <v>339.41684561818244</v>
      </c>
      <c r="P81" s="69">
        <f t="shared" si="16"/>
        <v>356.38768789909153</v>
      </c>
      <c r="Q81" s="10">
        <f t="shared" si="16"/>
        <v>374.2070722940461</v>
      </c>
      <c r="R81" s="69">
        <f t="shared" si="16"/>
        <v>392.91742590874838</v>
      </c>
      <c r="S81" s="70">
        <f t="shared" si="15"/>
        <v>412.5632972041858</v>
      </c>
      <c r="T81" s="11">
        <f t="shared" si="15"/>
        <v>433.19146206439507</v>
      </c>
      <c r="U81" s="12">
        <f t="shared" si="15"/>
        <v>454.85103516761484</v>
      </c>
      <c r="V81" s="13">
        <f t="shared" si="15"/>
        <v>477.59358692599557</v>
      </c>
      <c r="W81" s="12">
        <f t="shared" si="15"/>
        <v>501.47326627229535</v>
      </c>
      <c r="X81" s="13">
        <f t="shared" si="15"/>
        <v>526.54692958591011</v>
      </c>
      <c r="Y81" s="12">
        <f t="shared" si="15"/>
        <v>552.87427606520566</v>
      </c>
      <c r="Z81" s="14">
        <f t="shared" si="15"/>
        <v>580.51798986846597</v>
      </c>
    </row>
    <row r="82" spans="1:26" x14ac:dyDescent="0.2">
      <c r="A82" s="23">
        <v>37135</v>
      </c>
      <c r="B82" s="71">
        <v>180</v>
      </c>
      <c r="C82" s="10">
        <f t="shared" si="16"/>
        <v>189</v>
      </c>
      <c r="D82" s="69">
        <f t="shared" si="16"/>
        <v>198.45</v>
      </c>
      <c r="E82" s="10">
        <f t="shared" si="16"/>
        <v>208.3725</v>
      </c>
      <c r="F82" s="69">
        <f t="shared" si="16"/>
        <v>218.79112499999999</v>
      </c>
      <c r="G82" s="70">
        <f t="shared" si="16"/>
        <v>229.73068125</v>
      </c>
      <c r="H82" s="71">
        <f t="shared" si="16"/>
        <v>241.2172153125</v>
      </c>
      <c r="I82" s="10">
        <f t="shared" si="16"/>
        <v>253.278076078125</v>
      </c>
      <c r="J82" s="69">
        <f t="shared" si="16"/>
        <v>265.94197988203126</v>
      </c>
      <c r="K82" s="10">
        <f t="shared" si="16"/>
        <v>279.23907887613285</v>
      </c>
      <c r="L82" s="69">
        <f t="shared" si="16"/>
        <v>293.20103281993948</v>
      </c>
      <c r="M82" s="70">
        <f t="shared" si="16"/>
        <v>307.86108446093647</v>
      </c>
      <c r="N82" s="71">
        <f t="shared" si="16"/>
        <v>323.25413868398329</v>
      </c>
      <c r="O82" s="10">
        <f t="shared" si="16"/>
        <v>339.41684561818244</v>
      </c>
      <c r="P82" s="69">
        <f t="shared" si="16"/>
        <v>356.38768789909153</v>
      </c>
      <c r="Q82" s="10">
        <f t="shared" si="16"/>
        <v>374.2070722940461</v>
      </c>
      <c r="R82" s="69">
        <f t="shared" si="16"/>
        <v>392.91742590874838</v>
      </c>
      <c r="S82" s="70">
        <f t="shared" si="15"/>
        <v>412.5632972041858</v>
      </c>
      <c r="T82" s="11">
        <f t="shared" si="15"/>
        <v>433.19146206439507</v>
      </c>
      <c r="U82" s="12">
        <f t="shared" si="15"/>
        <v>454.85103516761484</v>
      </c>
      <c r="V82" s="13">
        <f t="shared" si="15"/>
        <v>477.59358692599557</v>
      </c>
      <c r="W82" s="12">
        <f t="shared" si="15"/>
        <v>501.47326627229535</v>
      </c>
      <c r="X82" s="13">
        <f t="shared" si="15"/>
        <v>526.54692958591011</v>
      </c>
      <c r="Y82" s="12">
        <f t="shared" si="15"/>
        <v>552.87427606520566</v>
      </c>
      <c r="Z82" s="14">
        <f t="shared" si="15"/>
        <v>580.51798986846597</v>
      </c>
    </row>
    <row r="83" spans="1:26" x14ac:dyDescent="0.2">
      <c r="A83" s="23">
        <v>37165</v>
      </c>
      <c r="B83" s="71">
        <v>180</v>
      </c>
      <c r="C83" s="10">
        <f t="shared" si="16"/>
        <v>189</v>
      </c>
      <c r="D83" s="69">
        <f t="shared" si="16"/>
        <v>198.45</v>
      </c>
      <c r="E83" s="10">
        <f t="shared" si="16"/>
        <v>208.3725</v>
      </c>
      <c r="F83" s="69">
        <f t="shared" si="16"/>
        <v>218.79112499999999</v>
      </c>
      <c r="G83" s="70">
        <f t="shared" si="16"/>
        <v>229.73068125</v>
      </c>
      <c r="H83" s="71">
        <f t="shared" si="16"/>
        <v>241.2172153125</v>
      </c>
      <c r="I83" s="10">
        <f t="shared" si="16"/>
        <v>253.278076078125</v>
      </c>
      <c r="J83" s="69">
        <f t="shared" si="16"/>
        <v>265.94197988203126</v>
      </c>
      <c r="K83" s="10">
        <f t="shared" si="16"/>
        <v>279.23907887613285</v>
      </c>
      <c r="L83" s="69">
        <f t="shared" si="16"/>
        <v>293.20103281993948</v>
      </c>
      <c r="M83" s="70">
        <f t="shared" si="16"/>
        <v>307.86108446093647</v>
      </c>
      <c r="N83" s="71">
        <f t="shared" si="16"/>
        <v>323.25413868398329</v>
      </c>
      <c r="O83" s="10">
        <f t="shared" si="16"/>
        <v>339.41684561818244</v>
      </c>
      <c r="P83" s="69">
        <f t="shared" si="16"/>
        <v>356.38768789909153</v>
      </c>
      <c r="Q83" s="10">
        <f t="shared" si="16"/>
        <v>374.2070722940461</v>
      </c>
      <c r="R83" s="69">
        <f t="shared" si="16"/>
        <v>392.91742590874838</v>
      </c>
      <c r="S83" s="70">
        <f t="shared" si="15"/>
        <v>412.5632972041858</v>
      </c>
      <c r="T83" s="11">
        <f t="shared" si="15"/>
        <v>433.19146206439507</v>
      </c>
      <c r="U83" s="12">
        <f t="shared" si="15"/>
        <v>454.85103516761484</v>
      </c>
      <c r="V83" s="13">
        <f t="shared" si="15"/>
        <v>477.59358692599557</v>
      </c>
      <c r="W83" s="12">
        <f t="shared" si="15"/>
        <v>501.47326627229535</v>
      </c>
      <c r="X83" s="13">
        <f t="shared" si="15"/>
        <v>526.54692958591011</v>
      </c>
      <c r="Y83" s="12">
        <f t="shared" si="15"/>
        <v>552.87427606520566</v>
      </c>
      <c r="Z83" s="14">
        <f t="shared" si="15"/>
        <v>580.51798986846597</v>
      </c>
    </row>
    <row r="84" spans="1:26" x14ac:dyDescent="0.2">
      <c r="A84" s="23">
        <v>37196</v>
      </c>
      <c r="B84" s="71">
        <v>180</v>
      </c>
      <c r="C84" s="10">
        <f t="shared" si="16"/>
        <v>189</v>
      </c>
      <c r="D84" s="69">
        <f t="shared" si="16"/>
        <v>198.45</v>
      </c>
      <c r="E84" s="10">
        <f t="shared" si="16"/>
        <v>208.3725</v>
      </c>
      <c r="F84" s="69">
        <f t="shared" si="16"/>
        <v>218.79112499999999</v>
      </c>
      <c r="G84" s="70">
        <f t="shared" si="16"/>
        <v>229.73068125</v>
      </c>
      <c r="H84" s="71">
        <f t="shared" si="16"/>
        <v>241.2172153125</v>
      </c>
      <c r="I84" s="10">
        <f t="shared" si="16"/>
        <v>253.278076078125</v>
      </c>
      <c r="J84" s="69">
        <f t="shared" si="16"/>
        <v>265.94197988203126</v>
      </c>
      <c r="K84" s="10">
        <f t="shared" si="16"/>
        <v>279.23907887613285</v>
      </c>
      <c r="L84" s="69">
        <f t="shared" si="16"/>
        <v>293.20103281993948</v>
      </c>
      <c r="M84" s="70">
        <f t="shared" si="16"/>
        <v>307.86108446093647</v>
      </c>
      <c r="N84" s="71">
        <f t="shared" si="16"/>
        <v>323.25413868398329</v>
      </c>
      <c r="O84" s="10">
        <f t="shared" si="16"/>
        <v>339.41684561818244</v>
      </c>
      <c r="P84" s="69">
        <f t="shared" si="16"/>
        <v>356.38768789909153</v>
      </c>
      <c r="Q84" s="10">
        <f t="shared" si="16"/>
        <v>374.2070722940461</v>
      </c>
      <c r="R84" s="69">
        <f t="shared" si="16"/>
        <v>392.91742590874838</v>
      </c>
      <c r="S84" s="70">
        <f t="shared" ref="R84:Z99" si="17">(R84*0.05)+R84</f>
        <v>412.5632972041858</v>
      </c>
      <c r="T84" s="11">
        <f t="shared" si="17"/>
        <v>433.19146206439507</v>
      </c>
      <c r="U84" s="12">
        <f t="shared" si="17"/>
        <v>454.85103516761484</v>
      </c>
      <c r="V84" s="13">
        <f t="shared" si="17"/>
        <v>477.59358692599557</v>
      </c>
      <c r="W84" s="12">
        <f t="shared" si="17"/>
        <v>501.47326627229535</v>
      </c>
      <c r="X84" s="13">
        <f t="shared" si="17"/>
        <v>526.54692958591011</v>
      </c>
      <c r="Y84" s="12">
        <f t="shared" si="17"/>
        <v>552.87427606520566</v>
      </c>
      <c r="Z84" s="14">
        <f t="shared" si="17"/>
        <v>580.51798986846597</v>
      </c>
    </row>
    <row r="85" spans="1:26" x14ac:dyDescent="0.2">
      <c r="A85" s="23">
        <v>37226</v>
      </c>
      <c r="B85" s="71">
        <v>180</v>
      </c>
      <c r="C85" s="10">
        <f t="shared" ref="C85:R100" si="18">(B85*0.05)+B85</f>
        <v>189</v>
      </c>
      <c r="D85" s="69">
        <f t="shared" si="18"/>
        <v>198.45</v>
      </c>
      <c r="E85" s="10">
        <f t="shared" si="18"/>
        <v>208.3725</v>
      </c>
      <c r="F85" s="69">
        <f t="shared" si="18"/>
        <v>218.79112499999999</v>
      </c>
      <c r="G85" s="70">
        <f t="shared" si="18"/>
        <v>229.73068125</v>
      </c>
      <c r="H85" s="71">
        <f t="shared" si="18"/>
        <v>241.2172153125</v>
      </c>
      <c r="I85" s="10">
        <f t="shared" si="18"/>
        <v>253.278076078125</v>
      </c>
      <c r="J85" s="69">
        <f t="shared" si="18"/>
        <v>265.94197988203126</v>
      </c>
      <c r="K85" s="10">
        <f t="shared" si="18"/>
        <v>279.23907887613285</v>
      </c>
      <c r="L85" s="69">
        <f t="shared" si="18"/>
        <v>293.20103281993948</v>
      </c>
      <c r="M85" s="70">
        <f t="shared" si="18"/>
        <v>307.86108446093647</v>
      </c>
      <c r="N85" s="71">
        <f t="shared" si="18"/>
        <v>323.25413868398329</v>
      </c>
      <c r="O85" s="10">
        <f t="shared" si="18"/>
        <v>339.41684561818244</v>
      </c>
      <c r="P85" s="69">
        <f t="shared" si="18"/>
        <v>356.38768789909153</v>
      </c>
      <c r="Q85" s="10">
        <f t="shared" si="18"/>
        <v>374.2070722940461</v>
      </c>
      <c r="R85" s="69">
        <f t="shared" si="18"/>
        <v>392.91742590874838</v>
      </c>
      <c r="S85" s="70">
        <f t="shared" si="17"/>
        <v>412.5632972041858</v>
      </c>
      <c r="T85" s="11">
        <f t="shared" si="17"/>
        <v>433.19146206439507</v>
      </c>
      <c r="U85" s="12">
        <f t="shared" si="17"/>
        <v>454.85103516761484</v>
      </c>
      <c r="V85" s="13">
        <f t="shared" si="17"/>
        <v>477.59358692599557</v>
      </c>
      <c r="W85" s="12">
        <f t="shared" si="17"/>
        <v>501.47326627229535</v>
      </c>
      <c r="X85" s="13">
        <f t="shared" si="17"/>
        <v>526.54692958591011</v>
      </c>
      <c r="Y85" s="12">
        <f t="shared" si="17"/>
        <v>552.87427606520566</v>
      </c>
      <c r="Z85" s="14">
        <f t="shared" si="17"/>
        <v>580.51798986846597</v>
      </c>
    </row>
    <row r="86" spans="1:26" x14ac:dyDescent="0.2">
      <c r="A86" s="23">
        <v>37257</v>
      </c>
      <c r="B86" s="71">
        <v>180</v>
      </c>
      <c r="C86" s="10">
        <f t="shared" si="18"/>
        <v>189</v>
      </c>
      <c r="D86" s="69">
        <f t="shared" si="18"/>
        <v>198.45</v>
      </c>
      <c r="E86" s="10">
        <f t="shared" si="18"/>
        <v>208.3725</v>
      </c>
      <c r="F86" s="69">
        <f t="shared" si="18"/>
        <v>218.79112499999999</v>
      </c>
      <c r="G86" s="70">
        <f t="shared" si="18"/>
        <v>229.73068125</v>
      </c>
      <c r="H86" s="71">
        <f t="shared" si="18"/>
        <v>241.2172153125</v>
      </c>
      <c r="I86" s="10">
        <f t="shared" si="18"/>
        <v>253.278076078125</v>
      </c>
      <c r="J86" s="69">
        <f t="shared" si="18"/>
        <v>265.94197988203126</v>
      </c>
      <c r="K86" s="10">
        <f t="shared" si="18"/>
        <v>279.23907887613285</v>
      </c>
      <c r="L86" s="69">
        <f t="shared" si="18"/>
        <v>293.20103281993948</v>
      </c>
      <c r="M86" s="70">
        <f t="shared" si="18"/>
        <v>307.86108446093647</v>
      </c>
      <c r="N86" s="71">
        <f t="shared" si="18"/>
        <v>323.25413868398329</v>
      </c>
      <c r="O86" s="10">
        <f t="shared" si="18"/>
        <v>339.41684561818244</v>
      </c>
      <c r="P86" s="69">
        <f t="shared" si="18"/>
        <v>356.38768789909153</v>
      </c>
      <c r="Q86" s="10">
        <f t="shared" si="18"/>
        <v>374.2070722940461</v>
      </c>
      <c r="R86" s="69">
        <f t="shared" si="18"/>
        <v>392.91742590874838</v>
      </c>
      <c r="S86" s="70">
        <f t="shared" si="17"/>
        <v>412.5632972041858</v>
      </c>
      <c r="T86" s="11">
        <f t="shared" si="17"/>
        <v>433.19146206439507</v>
      </c>
      <c r="U86" s="12">
        <f t="shared" si="17"/>
        <v>454.85103516761484</v>
      </c>
      <c r="V86" s="13">
        <f t="shared" si="17"/>
        <v>477.59358692599557</v>
      </c>
      <c r="W86" s="12">
        <f t="shared" si="17"/>
        <v>501.47326627229535</v>
      </c>
      <c r="X86" s="13">
        <f t="shared" si="17"/>
        <v>526.54692958591011</v>
      </c>
      <c r="Y86" s="12">
        <f t="shared" si="17"/>
        <v>552.87427606520566</v>
      </c>
      <c r="Z86" s="14">
        <f t="shared" si="17"/>
        <v>580.51798986846597</v>
      </c>
    </row>
    <row r="87" spans="1:26" x14ac:dyDescent="0.2">
      <c r="A87" s="23">
        <v>37288</v>
      </c>
      <c r="B87" s="71">
        <v>180</v>
      </c>
      <c r="C87" s="10">
        <f t="shared" si="18"/>
        <v>189</v>
      </c>
      <c r="D87" s="69">
        <f t="shared" si="18"/>
        <v>198.45</v>
      </c>
      <c r="E87" s="10">
        <f t="shared" si="18"/>
        <v>208.3725</v>
      </c>
      <c r="F87" s="69">
        <f t="shared" si="18"/>
        <v>218.79112499999999</v>
      </c>
      <c r="G87" s="70">
        <f t="shared" si="18"/>
        <v>229.73068125</v>
      </c>
      <c r="H87" s="71">
        <f t="shared" si="18"/>
        <v>241.2172153125</v>
      </c>
      <c r="I87" s="10">
        <f t="shared" si="18"/>
        <v>253.278076078125</v>
      </c>
      <c r="J87" s="69">
        <f t="shared" si="18"/>
        <v>265.94197988203126</v>
      </c>
      <c r="K87" s="10">
        <f t="shared" si="18"/>
        <v>279.23907887613285</v>
      </c>
      <c r="L87" s="69">
        <f t="shared" si="18"/>
        <v>293.20103281993948</v>
      </c>
      <c r="M87" s="70">
        <f t="shared" si="18"/>
        <v>307.86108446093647</v>
      </c>
      <c r="N87" s="71">
        <f t="shared" si="18"/>
        <v>323.25413868398329</v>
      </c>
      <c r="O87" s="10">
        <f t="shared" si="18"/>
        <v>339.41684561818244</v>
      </c>
      <c r="P87" s="69">
        <f t="shared" si="18"/>
        <v>356.38768789909153</v>
      </c>
      <c r="Q87" s="10">
        <f t="shared" si="18"/>
        <v>374.2070722940461</v>
      </c>
      <c r="R87" s="69">
        <f t="shared" si="18"/>
        <v>392.91742590874838</v>
      </c>
      <c r="S87" s="70">
        <f t="shared" si="17"/>
        <v>412.5632972041858</v>
      </c>
      <c r="T87" s="11">
        <f t="shared" si="17"/>
        <v>433.19146206439507</v>
      </c>
      <c r="U87" s="12">
        <f t="shared" si="17"/>
        <v>454.85103516761484</v>
      </c>
      <c r="V87" s="13">
        <f t="shared" si="17"/>
        <v>477.59358692599557</v>
      </c>
      <c r="W87" s="12">
        <f t="shared" si="17"/>
        <v>501.47326627229535</v>
      </c>
      <c r="X87" s="13">
        <f t="shared" si="17"/>
        <v>526.54692958591011</v>
      </c>
      <c r="Y87" s="12">
        <f t="shared" si="17"/>
        <v>552.87427606520566</v>
      </c>
      <c r="Z87" s="14">
        <f t="shared" si="17"/>
        <v>580.51798986846597</v>
      </c>
    </row>
    <row r="88" spans="1:26" x14ac:dyDescent="0.2">
      <c r="A88" s="23">
        <v>37316</v>
      </c>
      <c r="B88" s="71">
        <v>180</v>
      </c>
      <c r="C88" s="10">
        <f t="shared" si="18"/>
        <v>189</v>
      </c>
      <c r="D88" s="69">
        <f t="shared" si="18"/>
        <v>198.45</v>
      </c>
      <c r="E88" s="10">
        <f t="shared" si="18"/>
        <v>208.3725</v>
      </c>
      <c r="F88" s="69">
        <f t="shared" si="18"/>
        <v>218.79112499999999</v>
      </c>
      <c r="G88" s="70">
        <f t="shared" si="18"/>
        <v>229.73068125</v>
      </c>
      <c r="H88" s="71">
        <f t="shared" si="18"/>
        <v>241.2172153125</v>
      </c>
      <c r="I88" s="10">
        <f t="shared" si="18"/>
        <v>253.278076078125</v>
      </c>
      <c r="J88" s="69">
        <f t="shared" si="18"/>
        <v>265.94197988203126</v>
      </c>
      <c r="K88" s="10">
        <f t="shared" si="18"/>
        <v>279.23907887613285</v>
      </c>
      <c r="L88" s="69">
        <f t="shared" si="18"/>
        <v>293.20103281993948</v>
      </c>
      <c r="M88" s="70">
        <f t="shared" si="18"/>
        <v>307.86108446093647</v>
      </c>
      <c r="N88" s="71">
        <f t="shared" si="18"/>
        <v>323.25413868398329</v>
      </c>
      <c r="O88" s="10">
        <f t="shared" si="18"/>
        <v>339.41684561818244</v>
      </c>
      <c r="P88" s="69">
        <f t="shared" si="18"/>
        <v>356.38768789909153</v>
      </c>
      <c r="Q88" s="10">
        <f t="shared" si="18"/>
        <v>374.2070722940461</v>
      </c>
      <c r="R88" s="69">
        <f t="shared" si="18"/>
        <v>392.91742590874838</v>
      </c>
      <c r="S88" s="70">
        <f t="shared" si="17"/>
        <v>412.5632972041858</v>
      </c>
      <c r="T88" s="11">
        <f t="shared" si="17"/>
        <v>433.19146206439507</v>
      </c>
      <c r="U88" s="12">
        <f t="shared" si="17"/>
        <v>454.85103516761484</v>
      </c>
      <c r="V88" s="13">
        <f t="shared" si="17"/>
        <v>477.59358692599557</v>
      </c>
      <c r="W88" s="12">
        <f t="shared" si="17"/>
        <v>501.47326627229535</v>
      </c>
      <c r="X88" s="13">
        <f t="shared" si="17"/>
        <v>526.54692958591011</v>
      </c>
      <c r="Y88" s="12">
        <f t="shared" si="17"/>
        <v>552.87427606520566</v>
      </c>
      <c r="Z88" s="14">
        <f t="shared" si="17"/>
        <v>580.51798986846597</v>
      </c>
    </row>
    <row r="89" spans="1:26" x14ac:dyDescent="0.2">
      <c r="A89" s="23">
        <v>37347</v>
      </c>
      <c r="B89" s="71">
        <v>200</v>
      </c>
      <c r="C89" s="10">
        <f t="shared" si="18"/>
        <v>210</v>
      </c>
      <c r="D89" s="69">
        <f t="shared" si="18"/>
        <v>220.5</v>
      </c>
      <c r="E89" s="10">
        <f t="shared" si="18"/>
        <v>231.52500000000001</v>
      </c>
      <c r="F89" s="69">
        <f t="shared" si="18"/>
        <v>243.10124999999999</v>
      </c>
      <c r="G89" s="70">
        <f t="shared" si="18"/>
        <v>255.25631249999998</v>
      </c>
      <c r="H89" s="71">
        <f t="shared" si="18"/>
        <v>268.01912812499995</v>
      </c>
      <c r="I89" s="10">
        <f t="shared" si="18"/>
        <v>281.42008453124993</v>
      </c>
      <c r="J89" s="69">
        <f t="shared" si="18"/>
        <v>295.49108875781241</v>
      </c>
      <c r="K89" s="10">
        <f t="shared" si="18"/>
        <v>310.26564319570303</v>
      </c>
      <c r="L89" s="69">
        <f t="shared" si="18"/>
        <v>325.77892535548818</v>
      </c>
      <c r="M89" s="70">
        <f t="shared" si="18"/>
        <v>342.06787162326259</v>
      </c>
      <c r="N89" s="71">
        <f t="shared" si="18"/>
        <v>359.17126520442571</v>
      </c>
      <c r="O89" s="10">
        <f t="shared" si="18"/>
        <v>377.12982846464701</v>
      </c>
      <c r="P89" s="69">
        <f t="shared" si="18"/>
        <v>395.98631988787935</v>
      </c>
      <c r="Q89" s="10">
        <f t="shared" si="18"/>
        <v>415.78563588227331</v>
      </c>
      <c r="R89" s="69">
        <f t="shared" si="18"/>
        <v>436.57491767638697</v>
      </c>
      <c r="S89" s="70">
        <f t="shared" si="17"/>
        <v>458.40366356020633</v>
      </c>
      <c r="T89" s="11">
        <f t="shared" si="17"/>
        <v>481.32384673821662</v>
      </c>
      <c r="U89" s="12">
        <f t="shared" si="17"/>
        <v>505.39003907512745</v>
      </c>
      <c r="V89" s="13">
        <f t="shared" si="17"/>
        <v>530.65954102888384</v>
      </c>
      <c r="W89" s="12">
        <f t="shared" si="17"/>
        <v>557.192518080328</v>
      </c>
      <c r="X89" s="13">
        <f t="shared" si="17"/>
        <v>585.05214398434441</v>
      </c>
      <c r="Y89" s="12">
        <f t="shared" si="17"/>
        <v>614.30475118356162</v>
      </c>
      <c r="Z89" s="14">
        <f t="shared" si="17"/>
        <v>645.01998874273966</v>
      </c>
    </row>
    <row r="90" spans="1:26" x14ac:dyDescent="0.2">
      <c r="A90" s="23">
        <v>37377</v>
      </c>
      <c r="B90" s="71">
        <v>200</v>
      </c>
      <c r="C90" s="10">
        <f t="shared" si="18"/>
        <v>210</v>
      </c>
      <c r="D90" s="69">
        <f t="shared" si="18"/>
        <v>220.5</v>
      </c>
      <c r="E90" s="10">
        <f t="shared" si="18"/>
        <v>231.52500000000001</v>
      </c>
      <c r="F90" s="69">
        <f t="shared" si="18"/>
        <v>243.10124999999999</v>
      </c>
      <c r="G90" s="70">
        <f t="shared" si="18"/>
        <v>255.25631249999998</v>
      </c>
      <c r="H90" s="71">
        <f t="shared" si="18"/>
        <v>268.01912812499995</v>
      </c>
      <c r="I90" s="10">
        <f t="shared" si="18"/>
        <v>281.42008453124993</v>
      </c>
      <c r="J90" s="69">
        <f t="shared" si="18"/>
        <v>295.49108875781241</v>
      </c>
      <c r="K90" s="10">
        <f t="shared" si="18"/>
        <v>310.26564319570303</v>
      </c>
      <c r="L90" s="69">
        <f t="shared" si="18"/>
        <v>325.77892535548818</v>
      </c>
      <c r="M90" s="70">
        <f t="shared" si="18"/>
        <v>342.06787162326259</v>
      </c>
      <c r="N90" s="71">
        <f t="shared" si="18"/>
        <v>359.17126520442571</v>
      </c>
      <c r="O90" s="10">
        <f t="shared" si="18"/>
        <v>377.12982846464701</v>
      </c>
      <c r="P90" s="69">
        <f t="shared" si="18"/>
        <v>395.98631988787935</v>
      </c>
      <c r="Q90" s="10">
        <f t="shared" si="18"/>
        <v>415.78563588227331</v>
      </c>
      <c r="R90" s="69">
        <f t="shared" si="18"/>
        <v>436.57491767638697</v>
      </c>
      <c r="S90" s="70">
        <f t="shared" si="17"/>
        <v>458.40366356020633</v>
      </c>
      <c r="T90" s="11">
        <f t="shared" si="17"/>
        <v>481.32384673821662</v>
      </c>
      <c r="U90" s="12">
        <f t="shared" si="17"/>
        <v>505.39003907512745</v>
      </c>
      <c r="V90" s="13">
        <f t="shared" si="17"/>
        <v>530.65954102888384</v>
      </c>
      <c r="W90" s="12">
        <f t="shared" si="17"/>
        <v>557.192518080328</v>
      </c>
      <c r="X90" s="13">
        <f t="shared" si="17"/>
        <v>585.05214398434441</v>
      </c>
      <c r="Y90" s="12">
        <f t="shared" si="17"/>
        <v>614.30475118356162</v>
      </c>
      <c r="Z90" s="14">
        <f t="shared" si="17"/>
        <v>645.01998874273966</v>
      </c>
    </row>
    <row r="91" spans="1:26" x14ac:dyDescent="0.2">
      <c r="A91" s="23">
        <v>37408</v>
      </c>
      <c r="B91" s="71">
        <v>200</v>
      </c>
      <c r="C91" s="10">
        <f t="shared" si="18"/>
        <v>210</v>
      </c>
      <c r="D91" s="69">
        <f t="shared" si="18"/>
        <v>220.5</v>
      </c>
      <c r="E91" s="10">
        <f t="shared" si="18"/>
        <v>231.52500000000001</v>
      </c>
      <c r="F91" s="69">
        <f t="shared" si="18"/>
        <v>243.10124999999999</v>
      </c>
      <c r="G91" s="70">
        <f t="shared" si="18"/>
        <v>255.25631249999998</v>
      </c>
      <c r="H91" s="71">
        <f t="shared" si="18"/>
        <v>268.01912812499995</v>
      </c>
      <c r="I91" s="10">
        <f t="shared" si="18"/>
        <v>281.42008453124993</v>
      </c>
      <c r="J91" s="69">
        <f t="shared" si="18"/>
        <v>295.49108875781241</v>
      </c>
      <c r="K91" s="10">
        <f t="shared" si="18"/>
        <v>310.26564319570303</v>
      </c>
      <c r="L91" s="69">
        <f t="shared" si="18"/>
        <v>325.77892535548818</v>
      </c>
      <c r="M91" s="70">
        <f t="shared" si="18"/>
        <v>342.06787162326259</v>
      </c>
      <c r="N91" s="71">
        <f t="shared" si="18"/>
        <v>359.17126520442571</v>
      </c>
      <c r="O91" s="10">
        <f t="shared" si="18"/>
        <v>377.12982846464701</v>
      </c>
      <c r="P91" s="69">
        <f t="shared" si="18"/>
        <v>395.98631988787935</v>
      </c>
      <c r="Q91" s="10">
        <f t="shared" si="18"/>
        <v>415.78563588227331</v>
      </c>
      <c r="R91" s="69">
        <f t="shared" si="17"/>
        <v>436.57491767638697</v>
      </c>
      <c r="S91" s="70">
        <f t="shared" si="17"/>
        <v>458.40366356020633</v>
      </c>
      <c r="T91" s="11">
        <f t="shared" si="17"/>
        <v>481.32384673821662</v>
      </c>
      <c r="U91" s="12">
        <f t="shared" si="17"/>
        <v>505.39003907512745</v>
      </c>
      <c r="V91" s="13">
        <f t="shared" si="17"/>
        <v>530.65954102888384</v>
      </c>
      <c r="W91" s="12">
        <f t="shared" si="17"/>
        <v>557.192518080328</v>
      </c>
      <c r="X91" s="13">
        <f t="shared" si="17"/>
        <v>585.05214398434441</v>
      </c>
      <c r="Y91" s="12">
        <f t="shared" si="17"/>
        <v>614.30475118356162</v>
      </c>
      <c r="Z91" s="14">
        <f t="shared" si="17"/>
        <v>645.01998874273966</v>
      </c>
    </row>
    <row r="92" spans="1:26" x14ac:dyDescent="0.2">
      <c r="A92" s="23">
        <v>37438</v>
      </c>
      <c r="B92" s="71">
        <v>200</v>
      </c>
      <c r="C92" s="10">
        <f t="shared" si="18"/>
        <v>210</v>
      </c>
      <c r="D92" s="69">
        <f t="shared" si="18"/>
        <v>220.5</v>
      </c>
      <c r="E92" s="10">
        <f t="shared" si="18"/>
        <v>231.52500000000001</v>
      </c>
      <c r="F92" s="69">
        <f t="shared" si="18"/>
        <v>243.10124999999999</v>
      </c>
      <c r="G92" s="70">
        <f t="shared" si="18"/>
        <v>255.25631249999998</v>
      </c>
      <c r="H92" s="71">
        <f t="shared" si="18"/>
        <v>268.01912812499995</v>
      </c>
      <c r="I92" s="10">
        <f t="shared" si="18"/>
        <v>281.42008453124993</v>
      </c>
      <c r="J92" s="69">
        <f t="shared" si="18"/>
        <v>295.49108875781241</v>
      </c>
      <c r="K92" s="10">
        <f t="shared" si="18"/>
        <v>310.26564319570303</v>
      </c>
      <c r="L92" s="69">
        <f t="shared" si="18"/>
        <v>325.77892535548818</v>
      </c>
      <c r="M92" s="70">
        <f t="shared" si="18"/>
        <v>342.06787162326259</v>
      </c>
      <c r="N92" s="71">
        <f t="shared" si="18"/>
        <v>359.17126520442571</v>
      </c>
      <c r="O92" s="10">
        <f t="shared" si="18"/>
        <v>377.12982846464701</v>
      </c>
      <c r="P92" s="69">
        <f t="shared" si="18"/>
        <v>395.98631988787935</v>
      </c>
      <c r="Q92" s="10">
        <f t="shared" si="18"/>
        <v>415.78563588227331</v>
      </c>
      <c r="R92" s="69">
        <f t="shared" si="17"/>
        <v>436.57491767638697</v>
      </c>
      <c r="S92" s="70">
        <f t="shared" si="17"/>
        <v>458.40366356020633</v>
      </c>
      <c r="T92" s="11">
        <f t="shared" si="17"/>
        <v>481.32384673821662</v>
      </c>
      <c r="U92" s="12">
        <f t="shared" si="17"/>
        <v>505.39003907512745</v>
      </c>
      <c r="V92" s="13">
        <f t="shared" si="17"/>
        <v>530.65954102888384</v>
      </c>
      <c r="W92" s="12">
        <f t="shared" si="17"/>
        <v>557.192518080328</v>
      </c>
      <c r="X92" s="13">
        <f t="shared" si="17"/>
        <v>585.05214398434441</v>
      </c>
      <c r="Y92" s="12">
        <f t="shared" si="17"/>
        <v>614.30475118356162</v>
      </c>
      <c r="Z92" s="14">
        <f t="shared" si="17"/>
        <v>645.01998874273966</v>
      </c>
    </row>
    <row r="93" spans="1:26" x14ac:dyDescent="0.2">
      <c r="A93" s="23">
        <v>37469</v>
      </c>
      <c r="B93" s="71">
        <v>200</v>
      </c>
      <c r="C93" s="10">
        <f t="shared" si="18"/>
        <v>210</v>
      </c>
      <c r="D93" s="69">
        <f t="shared" si="18"/>
        <v>220.5</v>
      </c>
      <c r="E93" s="10">
        <f t="shared" si="18"/>
        <v>231.52500000000001</v>
      </c>
      <c r="F93" s="69">
        <f t="shared" si="18"/>
        <v>243.10124999999999</v>
      </c>
      <c r="G93" s="70">
        <f t="shared" si="18"/>
        <v>255.25631249999998</v>
      </c>
      <c r="H93" s="71">
        <f t="shared" si="18"/>
        <v>268.01912812499995</v>
      </c>
      <c r="I93" s="10">
        <f t="shared" si="18"/>
        <v>281.42008453124993</v>
      </c>
      <c r="J93" s="69">
        <f t="shared" si="18"/>
        <v>295.49108875781241</v>
      </c>
      <c r="K93" s="10">
        <f t="shared" si="18"/>
        <v>310.26564319570303</v>
      </c>
      <c r="L93" s="69">
        <f t="shared" si="18"/>
        <v>325.77892535548818</v>
      </c>
      <c r="M93" s="70">
        <f t="shared" si="18"/>
        <v>342.06787162326259</v>
      </c>
      <c r="N93" s="71">
        <f t="shared" si="18"/>
        <v>359.17126520442571</v>
      </c>
      <c r="O93" s="10">
        <f t="shared" si="18"/>
        <v>377.12982846464701</v>
      </c>
      <c r="P93" s="69">
        <f t="shared" si="18"/>
        <v>395.98631988787935</v>
      </c>
      <c r="Q93" s="10">
        <f t="shared" si="18"/>
        <v>415.78563588227331</v>
      </c>
      <c r="R93" s="69">
        <f t="shared" si="17"/>
        <v>436.57491767638697</v>
      </c>
      <c r="S93" s="70">
        <f t="shared" si="17"/>
        <v>458.40366356020633</v>
      </c>
      <c r="T93" s="11">
        <f t="shared" si="17"/>
        <v>481.32384673821662</v>
      </c>
      <c r="U93" s="12">
        <f t="shared" si="17"/>
        <v>505.39003907512745</v>
      </c>
      <c r="V93" s="13">
        <f t="shared" si="17"/>
        <v>530.65954102888384</v>
      </c>
      <c r="W93" s="12">
        <f t="shared" si="17"/>
        <v>557.192518080328</v>
      </c>
      <c r="X93" s="13">
        <f t="shared" si="17"/>
        <v>585.05214398434441</v>
      </c>
      <c r="Y93" s="12">
        <f t="shared" si="17"/>
        <v>614.30475118356162</v>
      </c>
      <c r="Z93" s="14">
        <f t="shared" si="17"/>
        <v>645.01998874273966</v>
      </c>
    </row>
    <row r="94" spans="1:26" x14ac:dyDescent="0.2">
      <c r="A94" s="23">
        <v>37500</v>
      </c>
      <c r="B94" s="71">
        <v>200</v>
      </c>
      <c r="C94" s="10">
        <f t="shared" si="18"/>
        <v>210</v>
      </c>
      <c r="D94" s="69">
        <f t="shared" si="18"/>
        <v>220.5</v>
      </c>
      <c r="E94" s="10">
        <f t="shared" si="18"/>
        <v>231.52500000000001</v>
      </c>
      <c r="F94" s="69">
        <f t="shared" si="18"/>
        <v>243.10124999999999</v>
      </c>
      <c r="G94" s="70">
        <f t="shared" si="18"/>
        <v>255.25631249999998</v>
      </c>
      <c r="H94" s="71">
        <f t="shared" si="18"/>
        <v>268.01912812499995</v>
      </c>
      <c r="I94" s="10">
        <f t="shared" si="18"/>
        <v>281.42008453124993</v>
      </c>
      <c r="J94" s="69">
        <f t="shared" si="18"/>
        <v>295.49108875781241</v>
      </c>
      <c r="K94" s="10">
        <f t="shared" si="18"/>
        <v>310.26564319570303</v>
      </c>
      <c r="L94" s="69">
        <f t="shared" si="18"/>
        <v>325.77892535548818</v>
      </c>
      <c r="M94" s="70">
        <f t="shared" si="18"/>
        <v>342.06787162326259</v>
      </c>
      <c r="N94" s="71">
        <f t="shared" si="18"/>
        <v>359.17126520442571</v>
      </c>
      <c r="O94" s="10">
        <f t="shared" si="18"/>
        <v>377.12982846464701</v>
      </c>
      <c r="P94" s="69">
        <f t="shared" si="18"/>
        <v>395.98631988787935</v>
      </c>
      <c r="Q94" s="10">
        <f t="shared" si="18"/>
        <v>415.78563588227331</v>
      </c>
      <c r="R94" s="69">
        <f t="shared" si="17"/>
        <v>436.57491767638697</v>
      </c>
      <c r="S94" s="70">
        <f t="shared" si="17"/>
        <v>458.40366356020633</v>
      </c>
      <c r="T94" s="11">
        <f t="shared" si="17"/>
        <v>481.32384673821662</v>
      </c>
      <c r="U94" s="12">
        <f t="shared" si="17"/>
        <v>505.39003907512745</v>
      </c>
      <c r="V94" s="13">
        <f t="shared" si="17"/>
        <v>530.65954102888384</v>
      </c>
      <c r="W94" s="12">
        <f t="shared" si="17"/>
        <v>557.192518080328</v>
      </c>
      <c r="X94" s="13">
        <f t="shared" si="17"/>
        <v>585.05214398434441</v>
      </c>
      <c r="Y94" s="12">
        <f t="shared" si="17"/>
        <v>614.30475118356162</v>
      </c>
      <c r="Z94" s="14">
        <f t="shared" si="17"/>
        <v>645.01998874273966</v>
      </c>
    </row>
    <row r="95" spans="1:26" x14ac:dyDescent="0.2">
      <c r="A95" s="23">
        <v>37530</v>
      </c>
      <c r="B95" s="71">
        <v>200</v>
      </c>
      <c r="C95" s="10">
        <f t="shared" si="18"/>
        <v>210</v>
      </c>
      <c r="D95" s="69">
        <f t="shared" si="18"/>
        <v>220.5</v>
      </c>
      <c r="E95" s="10">
        <f t="shared" si="18"/>
        <v>231.52500000000001</v>
      </c>
      <c r="F95" s="69">
        <f t="shared" si="18"/>
        <v>243.10124999999999</v>
      </c>
      <c r="G95" s="70">
        <f t="shared" si="18"/>
        <v>255.25631249999998</v>
      </c>
      <c r="H95" s="71">
        <f t="shared" si="18"/>
        <v>268.01912812499995</v>
      </c>
      <c r="I95" s="10">
        <f t="shared" si="18"/>
        <v>281.42008453124993</v>
      </c>
      <c r="J95" s="69">
        <f t="shared" si="18"/>
        <v>295.49108875781241</v>
      </c>
      <c r="K95" s="10">
        <f t="shared" si="18"/>
        <v>310.26564319570303</v>
      </c>
      <c r="L95" s="69">
        <f t="shared" si="18"/>
        <v>325.77892535548818</v>
      </c>
      <c r="M95" s="70">
        <f t="shared" si="18"/>
        <v>342.06787162326259</v>
      </c>
      <c r="N95" s="71">
        <f t="shared" si="18"/>
        <v>359.17126520442571</v>
      </c>
      <c r="O95" s="10">
        <f t="shared" si="18"/>
        <v>377.12982846464701</v>
      </c>
      <c r="P95" s="69">
        <f t="shared" si="18"/>
        <v>395.98631988787935</v>
      </c>
      <c r="Q95" s="10">
        <f t="shared" si="18"/>
        <v>415.78563588227331</v>
      </c>
      <c r="R95" s="69">
        <f t="shared" si="17"/>
        <v>436.57491767638697</v>
      </c>
      <c r="S95" s="70">
        <f t="shared" si="17"/>
        <v>458.40366356020633</v>
      </c>
      <c r="T95" s="11">
        <f t="shared" si="17"/>
        <v>481.32384673821662</v>
      </c>
      <c r="U95" s="12">
        <f t="shared" si="17"/>
        <v>505.39003907512745</v>
      </c>
      <c r="V95" s="13">
        <f t="shared" si="17"/>
        <v>530.65954102888384</v>
      </c>
      <c r="W95" s="12">
        <f t="shared" si="17"/>
        <v>557.192518080328</v>
      </c>
      <c r="X95" s="13">
        <f t="shared" si="17"/>
        <v>585.05214398434441</v>
      </c>
      <c r="Y95" s="12">
        <f t="shared" si="17"/>
        <v>614.30475118356162</v>
      </c>
      <c r="Z95" s="14">
        <f t="shared" si="17"/>
        <v>645.01998874273966</v>
      </c>
    </row>
    <row r="96" spans="1:26" x14ac:dyDescent="0.2">
      <c r="A96" s="23">
        <v>37561</v>
      </c>
      <c r="B96" s="71">
        <v>200</v>
      </c>
      <c r="C96" s="10">
        <f t="shared" si="18"/>
        <v>210</v>
      </c>
      <c r="D96" s="69">
        <f t="shared" si="18"/>
        <v>220.5</v>
      </c>
      <c r="E96" s="10">
        <f t="shared" si="18"/>
        <v>231.52500000000001</v>
      </c>
      <c r="F96" s="69">
        <f t="shared" si="18"/>
        <v>243.10124999999999</v>
      </c>
      <c r="G96" s="70">
        <f t="shared" si="18"/>
        <v>255.25631249999998</v>
      </c>
      <c r="H96" s="71">
        <f t="shared" si="18"/>
        <v>268.01912812499995</v>
      </c>
      <c r="I96" s="10">
        <f t="shared" si="18"/>
        <v>281.42008453124993</v>
      </c>
      <c r="J96" s="69">
        <f t="shared" si="18"/>
        <v>295.49108875781241</v>
      </c>
      <c r="K96" s="10">
        <f t="shared" si="18"/>
        <v>310.26564319570303</v>
      </c>
      <c r="L96" s="69">
        <f t="shared" si="18"/>
        <v>325.77892535548818</v>
      </c>
      <c r="M96" s="70">
        <f t="shared" si="18"/>
        <v>342.06787162326259</v>
      </c>
      <c r="N96" s="71">
        <f t="shared" si="18"/>
        <v>359.17126520442571</v>
      </c>
      <c r="O96" s="10">
        <f t="shared" si="18"/>
        <v>377.12982846464701</v>
      </c>
      <c r="P96" s="69">
        <f t="shared" si="18"/>
        <v>395.98631988787935</v>
      </c>
      <c r="Q96" s="10">
        <f t="shared" si="18"/>
        <v>415.78563588227331</v>
      </c>
      <c r="R96" s="69">
        <f t="shared" si="17"/>
        <v>436.57491767638697</v>
      </c>
      <c r="S96" s="70">
        <f t="shared" si="17"/>
        <v>458.40366356020633</v>
      </c>
      <c r="T96" s="11">
        <f t="shared" si="17"/>
        <v>481.32384673821662</v>
      </c>
      <c r="U96" s="12">
        <f t="shared" si="17"/>
        <v>505.39003907512745</v>
      </c>
      <c r="V96" s="13">
        <f t="shared" si="17"/>
        <v>530.65954102888384</v>
      </c>
      <c r="W96" s="12">
        <f t="shared" si="17"/>
        <v>557.192518080328</v>
      </c>
      <c r="X96" s="13">
        <f t="shared" si="17"/>
        <v>585.05214398434441</v>
      </c>
      <c r="Y96" s="12">
        <f t="shared" si="17"/>
        <v>614.30475118356162</v>
      </c>
      <c r="Z96" s="14">
        <f t="shared" si="17"/>
        <v>645.01998874273966</v>
      </c>
    </row>
    <row r="97" spans="1:26" x14ac:dyDescent="0.2">
      <c r="A97" s="23">
        <v>37591</v>
      </c>
      <c r="B97" s="71">
        <v>200</v>
      </c>
      <c r="C97" s="10">
        <f t="shared" si="18"/>
        <v>210</v>
      </c>
      <c r="D97" s="69">
        <f t="shared" si="18"/>
        <v>220.5</v>
      </c>
      <c r="E97" s="10">
        <f t="shared" si="18"/>
        <v>231.52500000000001</v>
      </c>
      <c r="F97" s="69">
        <f t="shared" si="18"/>
        <v>243.10124999999999</v>
      </c>
      <c r="G97" s="70">
        <f t="shared" si="18"/>
        <v>255.25631249999998</v>
      </c>
      <c r="H97" s="71">
        <f t="shared" si="18"/>
        <v>268.01912812499995</v>
      </c>
      <c r="I97" s="10">
        <f t="shared" si="18"/>
        <v>281.42008453124993</v>
      </c>
      <c r="J97" s="69">
        <f t="shared" si="18"/>
        <v>295.49108875781241</v>
      </c>
      <c r="K97" s="10">
        <f t="shared" si="18"/>
        <v>310.26564319570303</v>
      </c>
      <c r="L97" s="69">
        <f t="shared" si="18"/>
        <v>325.77892535548818</v>
      </c>
      <c r="M97" s="70">
        <f t="shared" si="18"/>
        <v>342.06787162326259</v>
      </c>
      <c r="N97" s="71">
        <f t="shared" si="18"/>
        <v>359.17126520442571</v>
      </c>
      <c r="O97" s="10">
        <f t="shared" si="18"/>
        <v>377.12982846464701</v>
      </c>
      <c r="P97" s="69">
        <f t="shared" si="18"/>
        <v>395.98631988787935</v>
      </c>
      <c r="Q97" s="10">
        <f t="shared" si="18"/>
        <v>415.78563588227331</v>
      </c>
      <c r="R97" s="69">
        <f t="shared" si="17"/>
        <v>436.57491767638697</v>
      </c>
      <c r="S97" s="70">
        <f t="shared" si="17"/>
        <v>458.40366356020633</v>
      </c>
      <c r="T97" s="11">
        <f t="shared" si="17"/>
        <v>481.32384673821662</v>
      </c>
      <c r="U97" s="12">
        <f t="shared" si="17"/>
        <v>505.39003907512745</v>
      </c>
      <c r="V97" s="13">
        <f t="shared" si="17"/>
        <v>530.65954102888384</v>
      </c>
      <c r="W97" s="12">
        <f t="shared" si="17"/>
        <v>557.192518080328</v>
      </c>
      <c r="X97" s="13">
        <f t="shared" si="17"/>
        <v>585.05214398434441</v>
      </c>
      <c r="Y97" s="12">
        <f t="shared" si="17"/>
        <v>614.30475118356162</v>
      </c>
      <c r="Z97" s="14">
        <f t="shared" si="17"/>
        <v>645.01998874273966</v>
      </c>
    </row>
    <row r="98" spans="1:26" x14ac:dyDescent="0.2">
      <c r="A98" s="23">
        <v>37622</v>
      </c>
      <c r="B98" s="71">
        <v>200</v>
      </c>
      <c r="C98" s="10">
        <f t="shared" si="18"/>
        <v>210</v>
      </c>
      <c r="D98" s="69">
        <f t="shared" si="18"/>
        <v>220.5</v>
      </c>
      <c r="E98" s="10">
        <f t="shared" si="18"/>
        <v>231.52500000000001</v>
      </c>
      <c r="F98" s="69">
        <f t="shared" si="18"/>
        <v>243.10124999999999</v>
      </c>
      <c r="G98" s="70">
        <f t="shared" si="18"/>
        <v>255.25631249999998</v>
      </c>
      <c r="H98" s="71">
        <f t="shared" si="18"/>
        <v>268.01912812499995</v>
      </c>
      <c r="I98" s="10">
        <f t="shared" si="18"/>
        <v>281.42008453124993</v>
      </c>
      <c r="J98" s="69">
        <f t="shared" si="18"/>
        <v>295.49108875781241</v>
      </c>
      <c r="K98" s="10">
        <f t="shared" si="18"/>
        <v>310.26564319570303</v>
      </c>
      <c r="L98" s="69">
        <f t="shared" si="18"/>
        <v>325.77892535548818</v>
      </c>
      <c r="M98" s="70">
        <f t="shared" si="18"/>
        <v>342.06787162326259</v>
      </c>
      <c r="N98" s="71">
        <f t="shared" si="18"/>
        <v>359.17126520442571</v>
      </c>
      <c r="O98" s="10">
        <f t="shared" si="18"/>
        <v>377.12982846464701</v>
      </c>
      <c r="P98" s="69">
        <f t="shared" si="18"/>
        <v>395.98631988787935</v>
      </c>
      <c r="Q98" s="10">
        <f t="shared" si="18"/>
        <v>415.78563588227331</v>
      </c>
      <c r="R98" s="69">
        <f t="shared" si="17"/>
        <v>436.57491767638697</v>
      </c>
      <c r="S98" s="70">
        <f t="shared" si="17"/>
        <v>458.40366356020633</v>
      </c>
      <c r="T98" s="11">
        <f t="shared" si="17"/>
        <v>481.32384673821662</v>
      </c>
      <c r="U98" s="12">
        <f t="shared" si="17"/>
        <v>505.39003907512745</v>
      </c>
      <c r="V98" s="13">
        <f t="shared" si="17"/>
        <v>530.65954102888384</v>
      </c>
      <c r="W98" s="12">
        <f t="shared" si="17"/>
        <v>557.192518080328</v>
      </c>
      <c r="X98" s="13">
        <f t="shared" si="17"/>
        <v>585.05214398434441</v>
      </c>
      <c r="Y98" s="12">
        <f t="shared" si="17"/>
        <v>614.30475118356162</v>
      </c>
      <c r="Z98" s="14">
        <f t="shared" si="17"/>
        <v>645.01998874273966</v>
      </c>
    </row>
    <row r="99" spans="1:26" x14ac:dyDescent="0.2">
      <c r="A99" s="23">
        <v>37653</v>
      </c>
      <c r="B99" s="71">
        <v>223.44</v>
      </c>
      <c r="C99" s="10">
        <f t="shared" si="18"/>
        <v>234.61199999999999</v>
      </c>
      <c r="D99" s="69">
        <f t="shared" si="18"/>
        <v>246.3426</v>
      </c>
      <c r="E99" s="10">
        <f t="shared" si="18"/>
        <v>258.65973000000002</v>
      </c>
      <c r="F99" s="69">
        <f t="shared" si="18"/>
        <v>271.59271650000005</v>
      </c>
      <c r="G99" s="70">
        <f t="shared" si="18"/>
        <v>285.17235232500008</v>
      </c>
      <c r="H99" s="71">
        <f t="shared" si="18"/>
        <v>299.43096994125005</v>
      </c>
      <c r="I99" s="10">
        <f t="shared" si="18"/>
        <v>314.40251843831254</v>
      </c>
      <c r="J99" s="69">
        <f t="shared" si="18"/>
        <v>330.12264436022815</v>
      </c>
      <c r="K99" s="10">
        <f t="shared" si="18"/>
        <v>346.62877657823958</v>
      </c>
      <c r="L99" s="69">
        <f t="shared" si="18"/>
        <v>363.96021540715157</v>
      </c>
      <c r="M99" s="70">
        <f t="shared" si="18"/>
        <v>382.15822617750916</v>
      </c>
      <c r="N99" s="71">
        <f t="shared" si="18"/>
        <v>401.26613748638465</v>
      </c>
      <c r="O99" s="10">
        <f t="shared" si="18"/>
        <v>421.32944436070386</v>
      </c>
      <c r="P99" s="69">
        <f t="shared" si="18"/>
        <v>442.39591657873905</v>
      </c>
      <c r="Q99" s="10">
        <f t="shared" si="18"/>
        <v>464.51571240767601</v>
      </c>
      <c r="R99" s="69">
        <f t="shared" si="17"/>
        <v>487.74149802805982</v>
      </c>
      <c r="S99" s="70">
        <f t="shared" si="17"/>
        <v>512.12857292946285</v>
      </c>
      <c r="T99" s="15">
        <f t="shared" si="17"/>
        <v>537.73500157593594</v>
      </c>
      <c r="U99" s="16">
        <f t="shared" si="17"/>
        <v>564.62175165473275</v>
      </c>
      <c r="V99" s="17">
        <f t="shared" si="17"/>
        <v>592.85283923746942</v>
      </c>
      <c r="W99" s="16">
        <f t="shared" si="17"/>
        <v>622.49548119934286</v>
      </c>
      <c r="X99" s="17">
        <f t="shared" si="17"/>
        <v>653.62025525931006</v>
      </c>
      <c r="Y99" s="16">
        <f t="shared" si="17"/>
        <v>686.30126802227551</v>
      </c>
      <c r="Z99" s="18">
        <f t="shared" si="17"/>
        <v>720.61633142338928</v>
      </c>
    </row>
    <row r="100" spans="1:26" x14ac:dyDescent="0.2">
      <c r="A100" s="23">
        <v>37681</v>
      </c>
      <c r="B100" s="71">
        <v>223.44</v>
      </c>
      <c r="C100" s="10">
        <f t="shared" si="18"/>
        <v>234.61199999999999</v>
      </c>
      <c r="D100" s="69">
        <f t="shared" si="18"/>
        <v>246.3426</v>
      </c>
      <c r="E100" s="10">
        <f t="shared" si="18"/>
        <v>258.65973000000002</v>
      </c>
      <c r="F100" s="69">
        <f t="shared" si="18"/>
        <v>271.59271650000005</v>
      </c>
      <c r="G100" s="70">
        <f t="shared" si="18"/>
        <v>285.17235232500008</v>
      </c>
      <c r="H100" s="71">
        <f t="shared" si="18"/>
        <v>299.43096994125005</v>
      </c>
      <c r="I100" s="10">
        <f t="shared" si="18"/>
        <v>314.40251843831254</v>
      </c>
      <c r="J100" s="69">
        <f t="shared" si="18"/>
        <v>330.12264436022815</v>
      </c>
      <c r="K100" s="10">
        <f t="shared" si="18"/>
        <v>346.62877657823958</v>
      </c>
      <c r="L100" s="69">
        <f t="shared" si="18"/>
        <v>363.96021540715157</v>
      </c>
      <c r="M100" s="70">
        <f t="shared" si="18"/>
        <v>382.15822617750916</v>
      </c>
      <c r="N100" s="71">
        <f t="shared" si="18"/>
        <v>401.26613748638465</v>
      </c>
      <c r="O100" s="10">
        <f t="shared" si="18"/>
        <v>421.32944436070386</v>
      </c>
      <c r="P100" s="69">
        <f t="shared" si="18"/>
        <v>442.39591657873905</v>
      </c>
      <c r="Q100" s="10">
        <f t="shared" si="18"/>
        <v>464.51571240767601</v>
      </c>
      <c r="R100" s="69">
        <f t="shared" si="18"/>
        <v>487.74149802805982</v>
      </c>
      <c r="S100" s="70">
        <f t="shared" ref="R100:Z115" si="19">(R100*0.05)+R100</f>
        <v>512.12857292946285</v>
      </c>
      <c r="T100" s="15">
        <f t="shared" si="19"/>
        <v>537.73500157593594</v>
      </c>
      <c r="U100" s="16">
        <f t="shared" si="19"/>
        <v>564.62175165473275</v>
      </c>
      <c r="V100" s="17">
        <f t="shared" si="19"/>
        <v>592.85283923746942</v>
      </c>
      <c r="W100" s="16">
        <f t="shared" si="19"/>
        <v>622.49548119934286</v>
      </c>
      <c r="X100" s="17">
        <f t="shared" si="19"/>
        <v>653.62025525931006</v>
      </c>
      <c r="Y100" s="16">
        <f t="shared" si="19"/>
        <v>686.30126802227551</v>
      </c>
      <c r="Z100" s="18">
        <f t="shared" si="19"/>
        <v>720.61633142338928</v>
      </c>
    </row>
    <row r="101" spans="1:26" x14ac:dyDescent="0.2">
      <c r="A101" s="23">
        <v>37712</v>
      </c>
      <c r="B101" s="71">
        <v>223.44</v>
      </c>
      <c r="C101" s="10">
        <f t="shared" ref="C101:R116" si="20">(B101*0.05)+B101</f>
        <v>234.61199999999999</v>
      </c>
      <c r="D101" s="69">
        <f t="shared" si="20"/>
        <v>246.3426</v>
      </c>
      <c r="E101" s="10">
        <f t="shared" si="20"/>
        <v>258.65973000000002</v>
      </c>
      <c r="F101" s="69">
        <f t="shared" si="20"/>
        <v>271.59271650000005</v>
      </c>
      <c r="G101" s="70">
        <f t="shared" si="20"/>
        <v>285.17235232500008</v>
      </c>
      <c r="H101" s="71">
        <f t="shared" si="20"/>
        <v>299.43096994125005</v>
      </c>
      <c r="I101" s="10">
        <f t="shared" si="20"/>
        <v>314.40251843831254</v>
      </c>
      <c r="J101" s="69">
        <f t="shared" si="20"/>
        <v>330.12264436022815</v>
      </c>
      <c r="K101" s="10">
        <f t="shared" si="20"/>
        <v>346.62877657823958</v>
      </c>
      <c r="L101" s="69">
        <f t="shared" si="20"/>
        <v>363.96021540715157</v>
      </c>
      <c r="M101" s="70">
        <f t="shared" si="20"/>
        <v>382.15822617750916</v>
      </c>
      <c r="N101" s="71">
        <f t="shared" si="20"/>
        <v>401.26613748638465</v>
      </c>
      <c r="O101" s="10">
        <f t="shared" si="20"/>
        <v>421.32944436070386</v>
      </c>
      <c r="P101" s="69">
        <f t="shared" si="20"/>
        <v>442.39591657873905</v>
      </c>
      <c r="Q101" s="10">
        <f t="shared" si="20"/>
        <v>464.51571240767601</v>
      </c>
      <c r="R101" s="69">
        <f t="shared" si="19"/>
        <v>487.74149802805982</v>
      </c>
      <c r="S101" s="70">
        <f t="shared" si="19"/>
        <v>512.12857292946285</v>
      </c>
      <c r="T101" s="15">
        <f t="shared" si="19"/>
        <v>537.73500157593594</v>
      </c>
      <c r="U101" s="16">
        <f t="shared" si="19"/>
        <v>564.62175165473275</v>
      </c>
      <c r="V101" s="17">
        <f t="shared" si="19"/>
        <v>592.85283923746942</v>
      </c>
      <c r="W101" s="16">
        <f t="shared" si="19"/>
        <v>622.49548119934286</v>
      </c>
      <c r="X101" s="17">
        <f t="shared" si="19"/>
        <v>653.62025525931006</v>
      </c>
      <c r="Y101" s="16">
        <f t="shared" si="19"/>
        <v>686.30126802227551</v>
      </c>
      <c r="Z101" s="18">
        <f t="shared" si="19"/>
        <v>720.61633142338928</v>
      </c>
    </row>
    <row r="102" spans="1:26" x14ac:dyDescent="0.2">
      <c r="A102" s="23">
        <v>37742</v>
      </c>
      <c r="B102" s="71">
        <v>240</v>
      </c>
      <c r="C102" s="10">
        <f t="shared" si="20"/>
        <v>252</v>
      </c>
      <c r="D102" s="69">
        <f t="shared" si="20"/>
        <v>264.60000000000002</v>
      </c>
      <c r="E102" s="10">
        <f t="shared" si="20"/>
        <v>277.83000000000004</v>
      </c>
      <c r="F102" s="69">
        <f t="shared" si="20"/>
        <v>291.72150000000005</v>
      </c>
      <c r="G102" s="70">
        <f t="shared" si="20"/>
        <v>306.30757500000004</v>
      </c>
      <c r="H102" s="71">
        <f t="shared" si="20"/>
        <v>321.62295375000002</v>
      </c>
      <c r="I102" s="10">
        <f t="shared" si="20"/>
        <v>337.70410143750001</v>
      </c>
      <c r="J102" s="69">
        <f t="shared" si="20"/>
        <v>354.58930650937504</v>
      </c>
      <c r="K102" s="10">
        <f t="shared" si="20"/>
        <v>372.3187718348438</v>
      </c>
      <c r="L102" s="69">
        <f t="shared" si="20"/>
        <v>390.93471042658598</v>
      </c>
      <c r="M102" s="70">
        <f t="shared" si="20"/>
        <v>410.48144594791529</v>
      </c>
      <c r="N102" s="71">
        <f t="shared" si="20"/>
        <v>431.00551824531107</v>
      </c>
      <c r="O102" s="10">
        <f t="shared" si="20"/>
        <v>452.5557941575766</v>
      </c>
      <c r="P102" s="69">
        <f t="shared" si="20"/>
        <v>475.18358386545543</v>
      </c>
      <c r="Q102" s="10">
        <f t="shared" si="20"/>
        <v>498.94276305872819</v>
      </c>
      <c r="R102" s="69">
        <f t="shared" si="19"/>
        <v>523.88990121166455</v>
      </c>
      <c r="S102" s="70">
        <f t="shared" si="19"/>
        <v>550.08439627224777</v>
      </c>
      <c r="T102" s="15">
        <f t="shared" si="19"/>
        <v>577.58861608586017</v>
      </c>
      <c r="U102" s="16">
        <f t="shared" si="19"/>
        <v>606.46804689015312</v>
      </c>
      <c r="V102" s="17">
        <f t="shared" si="19"/>
        <v>636.79144923466083</v>
      </c>
      <c r="W102" s="16">
        <f t="shared" si="19"/>
        <v>668.63102169639387</v>
      </c>
      <c r="X102" s="17">
        <f t="shared" si="19"/>
        <v>702.06257278121359</v>
      </c>
      <c r="Y102" s="16">
        <f t="shared" si="19"/>
        <v>737.16570142027422</v>
      </c>
      <c r="Z102" s="18">
        <f t="shared" si="19"/>
        <v>774.02398649128793</v>
      </c>
    </row>
    <row r="103" spans="1:26" x14ac:dyDescent="0.2">
      <c r="A103" s="23">
        <v>37773</v>
      </c>
      <c r="B103" s="71">
        <v>240</v>
      </c>
      <c r="C103" s="10">
        <f t="shared" si="20"/>
        <v>252</v>
      </c>
      <c r="D103" s="69">
        <f t="shared" si="20"/>
        <v>264.60000000000002</v>
      </c>
      <c r="E103" s="10">
        <f t="shared" si="20"/>
        <v>277.83000000000004</v>
      </c>
      <c r="F103" s="69">
        <f t="shared" si="20"/>
        <v>291.72150000000005</v>
      </c>
      <c r="G103" s="70">
        <f t="shared" si="20"/>
        <v>306.30757500000004</v>
      </c>
      <c r="H103" s="71">
        <f t="shared" si="20"/>
        <v>321.62295375000002</v>
      </c>
      <c r="I103" s="10">
        <f t="shared" si="20"/>
        <v>337.70410143750001</v>
      </c>
      <c r="J103" s="69">
        <f t="shared" si="20"/>
        <v>354.58930650937504</v>
      </c>
      <c r="K103" s="10">
        <f t="shared" si="20"/>
        <v>372.3187718348438</v>
      </c>
      <c r="L103" s="69">
        <f t="shared" si="20"/>
        <v>390.93471042658598</v>
      </c>
      <c r="M103" s="70">
        <f t="shared" si="20"/>
        <v>410.48144594791529</v>
      </c>
      <c r="N103" s="71">
        <f t="shared" si="20"/>
        <v>431.00551824531107</v>
      </c>
      <c r="O103" s="10">
        <f t="shared" si="20"/>
        <v>452.5557941575766</v>
      </c>
      <c r="P103" s="69">
        <f t="shared" si="20"/>
        <v>475.18358386545543</v>
      </c>
      <c r="Q103" s="10">
        <f t="shared" si="20"/>
        <v>498.94276305872819</v>
      </c>
      <c r="R103" s="69">
        <f t="shared" si="19"/>
        <v>523.88990121166455</v>
      </c>
      <c r="S103" s="70">
        <f t="shared" si="19"/>
        <v>550.08439627224777</v>
      </c>
      <c r="T103" s="71">
        <f t="shared" si="19"/>
        <v>577.58861608586017</v>
      </c>
      <c r="U103" s="16">
        <f t="shared" si="19"/>
        <v>606.46804689015312</v>
      </c>
      <c r="V103" s="17">
        <f t="shared" si="19"/>
        <v>636.79144923466083</v>
      </c>
      <c r="W103" s="16">
        <f t="shared" si="19"/>
        <v>668.63102169639387</v>
      </c>
      <c r="X103" s="17">
        <f t="shared" si="19"/>
        <v>702.06257278121359</v>
      </c>
      <c r="Y103" s="16">
        <f t="shared" si="19"/>
        <v>737.16570142027422</v>
      </c>
      <c r="Z103" s="18">
        <f t="shared" si="19"/>
        <v>774.02398649128793</v>
      </c>
    </row>
    <row r="104" spans="1:26" x14ac:dyDescent="0.2">
      <c r="A104" s="23">
        <v>37803</v>
      </c>
      <c r="B104" s="71">
        <v>240</v>
      </c>
      <c r="C104" s="10">
        <f t="shared" si="20"/>
        <v>252</v>
      </c>
      <c r="D104" s="69">
        <f t="shared" si="20"/>
        <v>264.60000000000002</v>
      </c>
      <c r="E104" s="10">
        <f t="shared" si="20"/>
        <v>277.83000000000004</v>
      </c>
      <c r="F104" s="69">
        <f t="shared" si="20"/>
        <v>291.72150000000005</v>
      </c>
      <c r="G104" s="70">
        <f t="shared" si="20"/>
        <v>306.30757500000004</v>
      </c>
      <c r="H104" s="71">
        <f t="shared" si="20"/>
        <v>321.62295375000002</v>
      </c>
      <c r="I104" s="10">
        <f t="shared" si="20"/>
        <v>337.70410143750001</v>
      </c>
      <c r="J104" s="69">
        <f t="shared" si="20"/>
        <v>354.58930650937504</v>
      </c>
      <c r="K104" s="10">
        <f t="shared" si="20"/>
        <v>372.3187718348438</v>
      </c>
      <c r="L104" s="69">
        <f t="shared" si="20"/>
        <v>390.93471042658598</v>
      </c>
      <c r="M104" s="70">
        <f t="shared" si="20"/>
        <v>410.48144594791529</v>
      </c>
      <c r="N104" s="71">
        <f t="shared" si="20"/>
        <v>431.00551824531107</v>
      </c>
      <c r="O104" s="10">
        <f t="shared" si="20"/>
        <v>452.5557941575766</v>
      </c>
      <c r="P104" s="69">
        <f t="shared" si="20"/>
        <v>475.18358386545543</v>
      </c>
      <c r="Q104" s="10">
        <f t="shared" si="20"/>
        <v>498.94276305872819</v>
      </c>
      <c r="R104" s="69">
        <f t="shared" si="19"/>
        <v>523.88990121166455</v>
      </c>
      <c r="S104" s="70">
        <f t="shared" si="19"/>
        <v>550.08439627224777</v>
      </c>
      <c r="T104" s="71">
        <f t="shared" si="19"/>
        <v>577.58861608586017</v>
      </c>
      <c r="U104" s="16">
        <f t="shared" si="19"/>
        <v>606.46804689015312</v>
      </c>
      <c r="V104" s="17">
        <f t="shared" si="19"/>
        <v>636.79144923466083</v>
      </c>
      <c r="W104" s="16">
        <f t="shared" si="19"/>
        <v>668.63102169639387</v>
      </c>
      <c r="X104" s="17">
        <f t="shared" si="19"/>
        <v>702.06257278121359</v>
      </c>
      <c r="Y104" s="16">
        <f t="shared" si="19"/>
        <v>737.16570142027422</v>
      </c>
      <c r="Z104" s="18">
        <f t="shared" si="19"/>
        <v>774.02398649128793</v>
      </c>
    </row>
    <row r="105" spans="1:26" x14ac:dyDescent="0.2">
      <c r="A105" s="23">
        <v>37834</v>
      </c>
      <c r="B105" s="71">
        <v>240</v>
      </c>
      <c r="C105" s="10">
        <f t="shared" si="20"/>
        <v>252</v>
      </c>
      <c r="D105" s="69">
        <f t="shared" si="20"/>
        <v>264.60000000000002</v>
      </c>
      <c r="E105" s="10">
        <f t="shared" si="20"/>
        <v>277.83000000000004</v>
      </c>
      <c r="F105" s="69">
        <f t="shared" si="20"/>
        <v>291.72150000000005</v>
      </c>
      <c r="G105" s="70">
        <f t="shared" si="20"/>
        <v>306.30757500000004</v>
      </c>
      <c r="H105" s="71">
        <f t="shared" si="20"/>
        <v>321.62295375000002</v>
      </c>
      <c r="I105" s="10">
        <f t="shared" si="20"/>
        <v>337.70410143750001</v>
      </c>
      <c r="J105" s="69">
        <f t="shared" si="20"/>
        <v>354.58930650937504</v>
      </c>
      <c r="K105" s="10">
        <f t="shared" si="20"/>
        <v>372.3187718348438</v>
      </c>
      <c r="L105" s="69">
        <f t="shared" si="20"/>
        <v>390.93471042658598</v>
      </c>
      <c r="M105" s="70">
        <f t="shared" si="20"/>
        <v>410.48144594791529</v>
      </c>
      <c r="N105" s="71">
        <f t="shared" si="20"/>
        <v>431.00551824531107</v>
      </c>
      <c r="O105" s="10">
        <f t="shared" si="20"/>
        <v>452.5557941575766</v>
      </c>
      <c r="P105" s="69">
        <f t="shared" si="20"/>
        <v>475.18358386545543</v>
      </c>
      <c r="Q105" s="10">
        <f t="shared" si="20"/>
        <v>498.94276305872819</v>
      </c>
      <c r="R105" s="69">
        <f t="shared" si="19"/>
        <v>523.88990121166455</v>
      </c>
      <c r="S105" s="70">
        <f t="shared" si="19"/>
        <v>550.08439627224777</v>
      </c>
      <c r="T105" s="15">
        <f t="shared" si="19"/>
        <v>577.58861608586017</v>
      </c>
      <c r="U105" s="16">
        <f t="shared" si="19"/>
        <v>606.46804689015312</v>
      </c>
      <c r="V105" s="17">
        <f t="shared" si="19"/>
        <v>636.79144923466083</v>
      </c>
      <c r="W105" s="16">
        <f t="shared" si="19"/>
        <v>668.63102169639387</v>
      </c>
      <c r="X105" s="17">
        <f t="shared" si="19"/>
        <v>702.06257278121359</v>
      </c>
      <c r="Y105" s="16">
        <f t="shared" si="19"/>
        <v>737.16570142027422</v>
      </c>
      <c r="Z105" s="18">
        <f t="shared" si="19"/>
        <v>774.02398649128793</v>
      </c>
    </row>
    <row r="106" spans="1:26" x14ac:dyDescent="0.2">
      <c r="A106" s="23">
        <v>37865</v>
      </c>
      <c r="B106" s="71">
        <v>240</v>
      </c>
      <c r="C106" s="10">
        <f t="shared" si="20"/>
        <v>252</v>
      </c>
      <c r="D106" s="69">
        <f t="shared" si="20"/>
        <v>264.60000000000002</v>
      </c>
      <c r="E106" s="10">
        <f t="shared" si="20"/>
        <v>277.83000000000004</v>
      </c>
      <c r="F106" s="69">
        <f t="shared" si="20"/>
        <v>291.72150000000005</v>
      </c>
      <c r="G106" s="70">
        <f t="shared" si="20"/>
        <v>306.30757500000004</v>
      </c>
      <c r="H106" s="71">
        <f t="shared" si="20"/>
        <v>321.62295375000002</v>
      </c>
      <c r="I106" s="10">
        <f t="shared" si="20"/>
        <v>337.70410143750001</v>
      </c>
      <c r="J106" s="69">
        <f t="shared" si="20"/>
        <v>354.58930650937504</v>
      </c>
      <c r="K106" s="10">
        <f t="shared" si="20"/>
        <v>372.3187718348438</v>
      </c>
      <c r="L106" s="69">
        <f t="shared" si="20"/>
        <v>390.93471042658598</v>
      </c>
      <c r="M106" s="70">
        <f t="shared" si="20"/>
        <v>410.48144594791529</v>
      </c>
      <c r="N106" s="71">
        <f t="shared" si="20"/>
        <v>431.00551824531107</v>
      </c>
      <c r="O106" s="10">
        <f t="shared" si="20"/>
        <v>452.5557941575766</v>
      </c>
      <c r="P106" s="69">
        <f t="shared" si="20"/>
        <v>475.18358386545543</v>
      </c>
      <c r="Q106" s="10">
        <f t="shared" si="20"/>
        <v>498.94276305872819</v>
      </c>
      <c r="R106" s="69">
        <f t="shared" si="20"/>
        <v>523.88990121166455</v>
      </c>
      <c r="S106" s="70">
        <f t="shared" si="19"/>
        <v>550.08439627224777</v>
      </c>
      <c r="T106" s="15">
        <f t="shared" si="19"/>
        <v>577.58861608586017</v>
      </c>
      <c r="U106" s="16">
        <f t="shared" si="19"/>
        <v>606.46804689015312</v>
      </c>
      <c r="V106" s="17">
        <f t="shared" si="19"/>
        <v>636.79144923466083</v>
      </c>
      <c r="W106" s="16">
        <f t="shared" si="19"/>
        <v>668.63102169639387</v>
      </c>
      <c r="X106" s="17">
        <f t="shared" si="19"/>
        <v>702.06257278121359</v>
      </c>
      <c r="Y106" s="16">
        <f t="shared" si="19"/>
        <v>737.16570142027422</v>
      </c>
      <c r="Z106" s="18">
        <f t="shared" si="19"/>
        <v>774.02398649128793</v>
      </c>
    </row>
    <row r="107" spans="1:26" x14ac:dyDescent="0.2">
      <c r="A107" s="23">
        <v>37895</v>
      </c>
      <c r="B107" s="71">
        <v>240</v>
      </c>
      <c r="C107" s="10">
        <f t="shared" si="20"/>
        <v>252</v>
      </c>
      <c r="D107" s="69">
        <f t="shared" si="20"/>
        <v>264.60000000000002</v>
      </c>
      <c r="E107" s="10">
        <f t="shared" si="20"/>
        <v>277.83000000000004</v>
      </c>
      <c r="F107" s="69">
        <f t="shared" si="20"/>
        <v>291.72150000000005</v>
      </c>
      <c r="G107" s="70">
        <f t="shared" si="20"/>
        <v>306.30757500000004</v>
      </c>
      <c r="H107" s="71">
        <f t="shared" si="20"/>
        <v>321.62295375000002</v>
      </c>
      <c r="I107" s="10">
        <f t="shared" si="20"/>
        <v>337.70410143750001</v>
      </c>
      <c r="J107" s="69">
        <f t="shared" si="20"/>
        <v>354.58930650937504</v>
      </c>
      <c r="K107" s="10">
        <f t="shared" si="20"/>
        <v>372.3187718348438</v>
      </c>
      <c r="L107" s="69">
        <f t="shared" si="20"/>
        <v>390.93471042658598</v>
      </c>
      <c r="M107" s="70">
        <f t="shared" si="20"/>
        <v>410.48144594791529</v>
      </c>
      <c r="N107" s="71">
        <f t="shared" si="20"/>
        <v>431.00551824531107</v>
      </c>
      <c r="O107" s="10">
        <f t="shared" si="20"/>
        <v>452.5557941575766</v>
      </c>
      <c r="P107" s="69">
        <f t="shared" si="20"/>
        <v>475.18358386545543</v>
      </c>
      <c r="Q107" s="10">
        <f t="shared" si="20"/>
        <v>498.94276305872819</v>
      </c>
      <c r="R107" s="69">
        <f t="shared" si="20"/>
        <v>523.88990121166455</v>
      </c>
      <c r="S107" s="70">
        <f t="shared" si="19"/>
        <v>550.08439627224777</v>
      </c>
      <c r="T107" s="15">
        <f t="shared" si="19"/>
        <v>577.58861608586017</v>
      </c>
      <c r="U107" s="16">
        <f t="shared" si="19"/>
        <v>606.46804689015312</v>
      </c>
      <c r="V107" s="17">
        <f t="shared" si="19"/>
        <v>636.79144923466083</v>
      </c>
      <c r="W107" s="16">
        <f t="shared" si="19"/>
        <v>668.63102169639387</v>
      </c>
      <c r="X107" s="17">
        <f t="shared" si="19"/>
        <v>702.06257278121359</v>
      </c>
      <c r="Y107" s="16">
        <f t="shared" si="19"/>
        <v>737.16570142027422</v>
      </c>
      <c r="Z107" s="18">
        <f t="shared" si="19"/>
        <v>774.02398649128793</v>
      </c>
    </row>
    <row r="108" spans="1:26" x14ac:dyDescent="0.2">
      <c r="A108" s="23">
        <v>37926</v>
      </c>
      <c r="B108" s="71">
        <v>240</v>
      </c>
      <c r="C108" s="10">
        <f t="shared" si="20"/>
        <v>252</v>
      </c>
      <c r="D108" s="69">
        <f t="shared" si="20"/>
        <v>264.60000000000002</v>
      </c>
      <c r="E108" s="10">
        <f t="shared" si="20"/>
        <v>277.83000000000004</v>
      </c>
      <c r="F108" s="69">
        <f t="shared" si="20"/>
        <v>291.72150000000005</v>
      </c>
      <c r="G108" s="70">
        <f t="shared" si="20"/>
        <v>306.30757500000004</v>
      </c>
      <c r="H108" s="71">
        <f t="shared" si="20"/>
        <v>321.62295375000002</v>
      </c>
      <c r="I108" s="10">
        <f t="shared" si="20"/>
        <v>337.70410143750001</v>
      </c>
      <c r="J108" s="69">
        <f t="shared" si="20"/>
        <v>354.58930650937504</v>
      </c>
      <c r="K108" s="10">
        <f t="shared" si="20"/>
        <v>372.3187718348438</v>
      </c>
      <c r="L108" s="69">
        <f t="shared" si="20"/>
        <v>390.93471042658598</v>
      </c>
      <c r="M108" s="70">
        <f t="shared" si="20"/>
        <v>410.48144594791529</v>
      </c>
      <c r="N108" s="71">
        <f t="shared" si="20"/>
        <v>431.00551824531107</v>
      </c>
      <c r="O108" s="10">
        <f t="shared" si="20"/>
        <v>452.5557941575766</v>
      </c>
      <c r="P108" s="69">
        <f t="shared" si="20"/>
        <v>475.18358386545543</v>
      </c>
      <c r="Q108" s="10">
        <f t="shared" si="20"/>
        <v>498.94276305872819</v>
      </c>
      <c r="R108" s="69">
        <f t="shared" si="20"/>
        <v>523.88990121166455</v>
      </c>
      <c r="S108" s="70">
        <f t="shared" si="19"/>
        <v>550.08439627224777</v>
      </c>
      <c r="T108" s="15">
        <f t="shared" si="19"/>
        <v>577.58861608586017</v>
      </c>
      <c r="U108" s="16">
        <f t="shared" si="19"/>
        <v>606.46804689015312</v>
      </c>
      <c r="V108" s="17">
        <f t="shared" si="19"/>
        <v>636.79144923466083</v>
      </c>
      <c r="W108" s="16">
        <f t="shared" si="19"/>
        <v>668.63102169639387</v>
      </c>
      <c r="X108" s="17">
        <f t="shared" si="19"/>
        <v>702.06257278121359</v>
      </c>
      <c r="Y108" s="16">
        <f t="shared" si="19"/>
        <v>737.16570142027422</v>
      </c>
      <c r="Z108" s="18">
        <f t="shared" si="19"/>
        <v>774.02398649128793</v>
      </c>
    </row>
    <row r="109" spans="1:26" x14ac:dyDescent="0.2">
      <c r="A109" s="23">
        <v>37956</v>
      </c>
      <c r="B109" s="71">
        <v>240</v>
      </c>
      <c r="C109" s="10">
        <f t="shared" si="20"/>
        <v>252</v>
      </c>
      <c r="D109" s="69">
        <f t="shared" si="20"/>
        <v>264.60000000000002</v>
      </c>
      <c r="E109" s="10">
        <f t="shared" si="20"/>
        <v>277.83000000000004</v>
      </c>
      <c r="F109" s="69">
        <f t="shared" si="20"/>
        <v>291.72150000000005</v>
      </c>
      <c r="G109" s="70">
        <f t="shared" si="20"/>
        <v>306.30757500000004</v>
      </c>
      <c r="H109" s="71">
        <f t="shared" si="20"/>
        <v>321.62295375000002</v>
      </c>
      <c r="I109" s="10">
        <f t="shared" si="20"/>
        <v>337.70410143750001</v>
      </c>
      <c r="J109" s="69">
        <f t="shared" si="20"/>
        <v>354.58930650937504</v>
      </c>
      <c r="K109" s="10">
        <f t="shared" si="20"/>
        <v>372.3187718348438</v>
      </c>
      <c r="L109" s="69">
        <f t="shared" si="20"/>
        <v>390.93471042658598</v>
      </c>
      <c r="M109" s="70">
        <f t="shared" si="20"/>
        <v>410.48144594791529</v>
      </c>
      <c r="N109" s="71">
        <f t="shared" si="20"/>
        <v>431.00551824531107</v>
      </c>
      <c r="O109" s="10">
        <f t="shared" si="20"/>
        <v>452.5557941575766</v>
      </c>
      <c r="P109" s="69">
        <f t="shared" si="20"/>
        <v>475.18358386545543</v>
      </c>
      <c r="Q109" s="10">
        <f t="shared" si="20"/>
        <v>498.94276305872819</v>
      </c>
      <c r="R109" s="69">
        <f t="shared" si="20"/>
        <v>523.88990121166455</v>
      </c>
      <c r="S109" s="70">
        <f t="shared" si="19"/>
        <v>550.08439627224777</v>
      </c>
      <c r="T109" s="15">
        <f t="shared" si="19"/>
        <v>577.58861608586017</v>
      </c>
      <c r="U109" s="16">
        <f t="shared" si="19"/>
        <v>606.46804689015312</v>
      </c>
      <c r="V109" s="17">
        <f t="shared" si="19"/>
        <v>636.79144923466083</v>
      </c>
      <c r="W109" s="16">
        <f t="shared" si="19"/>
        <v>668.63102169639387</v>
      </c>
      <c r="X109" s="17">
        <f t="shared" si="19"/>
        <v>702.06257278121359</v>
      </c>
      <c r="Y109" s="16">
        <f t="shared" si="19"/>
        <v>737.16570142027422</v>
      </c>
      <c r="Z109" s="18">
        <f t="shared" si="19"/>
        <v>774.02398649128793</v>
      </c>
    </row>
    <row r="110" spans="1:26" x14ac:dyDescent="0.2">
      <c r="A110" s="23">
        <v>37987</v>
      </c>
      <c r="B110" s="71">
        <v>240</v>
      </c>
      <c r="C110" s="10">
        <f t="shared" si="20"/>
        <v>252</v>
      </c>
      <c r="D110" s="69">
        <f t="shared" si="20"/>
        <v>264.60000000000002</v>
      </c>
      <c r="E110" s="10">
        <f t="shared" si="20"/>
        <v>277.83000000000004</v>
      </c>
      <c r="F110" s="69">
        <f t="shared" si="20"/>
        <v>291.72150000000005</v>
      </c>
      <c r="G110" s="70">
        <f t="shared" si="20"/>
        <v>306.30757500000004</v>
      </c>
      <c r="H110" s="71">
        <f t="shared" si="20"/>
        <v>321.62295375000002</v>
      </c>
      <c r="I110" s="10">
        <f t="shared" si="20"/>
        <v>337.70410143750001</v>
      </c>
      <c r="J110" s="69">
        <f t="shared" si="20"/>
        <v>354.58930650937504</v>
      </c>
      <c r="K110" s="10">
        <f t="shared" si="20"/>
        <v>372.3187718348438</v>
      </c>
      <c r="L110" s="69">
        <f t="shared" si="20"/>
        <v>390.93471042658598</v>
      </c>
      <c r="M110" s="70">
        <f t="shared" si="20"/>
        <v>410.48144594791529</v>
      </c>
      <c r="N110" s="71">
        <f t="shared" si="20"/>
        <v>431.00551824531107</v>
      </c>
      <c r="O110" s="10">
        <f t="shared" si="20"/>
        <v>452.5557941575766</v>
      </c>
      <c r="P110" s="69">
        <f t="shared" si="20"/>
        <v>475.18358386545543</v>
      </c>
      <c r="Q110" s="10">
        <f t="shared" si="20"/>
        <v>498.94276305872819</v>
      </c>
      <c r="R110" s="69">
        <f t="shared" si="20"/>
        <v>523.88990121166455</v>
      </c>
      <c r="S110" s="70">
        <f t="shared" si="19"/>
        <v>550.08439627224777</v>
      </c>
      <c r="T110" s="15">
        <f t="shared" si="19"/>
        <v>577.58861608586017</v>
      </c>
      <c r="U110" s="16">
        <f t="shared" si="19"/>
        <v>606.46804689015312</v>
      </c>
      <c r="V110" s="17">
        <f t="shared" si="19"/>
        <v>636.79144923466083</v>
      </c>
      <c r="W110" s="16">
        <f t="shared" si="19"/>
        <v>668.63102169639387</v>
      </c>
      <c r="X110" s="17">
        <f t="shared" si="19"/>
        <v>702.06257278121359</v>
      </c>
      <c r="Y110" s="16">
        <f t="shared" si="19"/>
        <v>737.16570142027422</v>
      </c>
      <c r="Z110" s="18">
        <f t="shared" si="19"/>
        <v>774.02398649128793</v>
      </c>
    </row>
    <row r="111" spans="1:26" x14ac:dyDescent="0.2">
      <c r="A111" s="23">
        <v>38018</v>
      </c>
      <c r="B111" s="71">
        <v>240</v>
      </c>
      <c r="C111" s="10">
        <f t="shared" si="20"/>
        <v>252</v>
      </c>
      <c r="D111" s="69">
        <f t="shared" si="20"/>
        <v>264.60000000000002</v>
      </c>
      <c r="E111" s="10">
        <f t="shared" si="20"/>
        <v>277.83000000000004</v>
      </c>
      <c r="F111" s="69">
        <f t="shared" si="20"/>
        <v>291.72150000000005</v>
      </c>
      <c r="G111" s="70">
        <f t="shared" si="20"/>
        <v>306.30757500000004</v>
      </c>
      <c r="H111" s="71">
        <f t="shared" si="20"/>
        <v>321.62295375000002</v>
      </c>
      <c r="I111" s="10">
        <f t="shared" si="20"/>
        <v>337.70410143750001</v>
      </c>
      <c r="J111" s="69">
        <f t="shared" si="20"/>
        <v>354.58930650937504</v>
      </c>
      <c r="K111" s="10">
        <f t="shared" si="20"/>
        <v>372.3187718348438</v>
      </c>
      <c r="L111" s="69">
        <f t="shared" si="20"/>
        <v>390.93471042658598</v>
      </c>
      <c r="M111" s="70">
        <f t="shared" si="20"/>
        <v>410.48144594791529</v>
      </c>
      <c r="N111" s="71">
        <f t="shared" si="20"/>
        <v>431.00551824531107</v>
      </c>
      <c r="O111" s="10">
        <f t="shared" si="20"/>
        <v>452.5557941575766</v>
      </c>
      <c r="P111" s="69">
        <f t="shared" si="20"/>
        <v>475.18358386545543</v>
      </c>
      <c r="Q111" s="10">
        <f t="shared" si="20"/>
        <v>498.94276305872819</v>
      </c>
      <c r="R111" s="69">
        <f t="shared" si="20"/>
        <v>523.88990121166455</v>
      </c>
      <c r="S111" s="70">
        <f t="shared" si="19"/>
        <v>550.08439627224777</v>
      </c>
      <c r="T111" s="15">
        <f t="shared" si="19"/>
        <v>577.58861608586017</v>
      </c>
      <c r="U111" s="16">
        <f t="shared" si="19"/>
        <v>606.46804689015312</v>
      </c>
      <c r="V111" s="17">
        <f t="shared" si="19"/>
        <v>636.79144923466083</v>
      </c>
      <c r="W111" s="16">
        <f t="shared" si="19"/>
        <v>668.63102169639387</v>
      </c>
      <c r="X111" s="17">
        <f t="shared" si="19"/>
        <v>702.06257278121359</v>
      </c>
      <c r="Y111" s="16">
        <f t="shared" si="19"/>
        <v>737.16570142027422</v>
      </c>
      <c r="Z111" s="18">
        <f t="shared" si="19"/>
        <v>774.02398649128793</v>
      </c>
    </row>
    <row r="112" spans="1:26" x14ac:dyDescent="0.2">
      <c r="A112" s="23">
        <v>38047</v>
      </c>
      <c r="B112" s="71">
        <v>240</v>
      </c>
      <c r="C112" s="10">
        <f t="shared" si="20"/>
        <v>252</v>
      </c>
      <c r="D112" s="69">
        <f t="shared" si="20"/>
        <v>264.60000000000002</v>
      </c>
      <c r="E112" s="10">
        <f t="shared" si="20"/>
        <v>277.83000000000004</v>
      </c>
      <c r="F112" s="69">
        <f t="shared" si="20"/>
        <v>291.72150000000005</v>
      </c>
      <c r="G112" s="70">
        <f t="shared" si="20"/>
        <v>306.30757500000004</v>
      </c>
      <c r="H112" s="71">
        <f t="shared" si="20"/>
        <v>321.62295375000002</v>
      </c>
      <c r="I112" s="10">
        <f t="shared" si="20"/>
        <v>337.70410143750001</v>
      </c>
      <c r="J112" s="69">
        <f t="shared" si="20"/>
        <v>354.58930650937504</v>
      </c>
      <c r="K112" s="10">
        <f t="shared" si="20"/>
        <v>372.3187718348438</v>
      </c>
      <c r="L112" s="69">
        <f t="shared" si="20"/>
        <v>390.93471042658598</v>
      </c>
      <c r="M112" s="70">
        <f t="shared" si="20"/>
        <v>410.48144594791529</v>
      </c>
      <c r="N112" s="71">
        <f t="shared" si="20"/>
        <v>431.00551824531107</v>
      </c>
      <c r="O112" s="10">
        <f t="shared" si="20"/>
        <v>452.5557941575766</v>
      </c>
      <c r="P112" s="69">
        <f t="shared" si="20"/>
        <v>475.18358386545543</v>
      </c>
      <c r="Q112" s="10">
        <f t="shared" si="20"/>
        <v>498.94276305872819</v>
      </c>
      <c r="R112" s="69">
        <f t="shared" si="20"/>
        <v>523.88990121166455</v>
      </c>
      <c r="S112" s="70">
        <f t="shared" si="19"/>
        <v>550.08439627224777</v>
      </c>
      <c r="T112" s="15">
        <f t="shared" si="19"/>
        <v>577.58861608586017</v>
      </c>
      <c r="U112" s="16">
        <f t="shared" si="19"/>
        <v>606.46804689015312</v>
      </c>
      <c r="V112" s="17">
        <f t="shared" si="19"/>
        <v>636.79144923466083</v>
      </c>
      <c r="W112" s="16">
        <f t="shared" si="19"/>
        <v>668.63102169639387</v>
      </c>
      <c r="X112" s="17">
        <f t="shared" si="19"/>
        <v>702.06257278121359</v>
      </c>
      <c r="Y112" s="16">
        <f t="shared" si="19"/>
        <v>737.16570142027422</v>
      </c>
      <c r="Z112" s="18">
        <f t="shared" si="19"/>
        <v>774.02398649128793</v>
      </c>
    </row>
    <row r="113" spans="1:26" x14ac:dyDescent="0.2">
      <c r="A113" s="23">
        <v>38078</v>
      </c>
      <c r="B113" s="71">
        <v>240</v>
      </c>
      <c r="C113" s="10">
        <f t="shared" si="20"/>
        <v>252</v>
      </c>
      <c r="D113" s="69">
        <f t="shared" si="20"/>
        <v>264.60000000000002</v>
      </c>
      <c r="E113" s="10">
        <f t="shared" si="20"/>
        <v>277.83000000000004</v>
      </c>
      <c r="F113" s="69">
        <f t="shared" si="20"/>
        <v>291.72150000000005</v>
      </c>
      <c r="G113" s="70">
        <f t="shared" si="20"/>
        <v>306.30757500000004</v>
      </c>
      <c r="H113" s="71">
        <f t="shared" si="20"/>
        <v>321.62295375000002</v>
      </c>
      <c r="I113" s="10">
        <f t="shared" si="20"/>
        <v>337.70410143750001</v>
      </c>
      <c r="J113" s="69">
        <f t="shared" si="20"/>
        <v>354.58930650937504</v>
      </c>
      <c r="K113" s="10">
        <f t="shared" si="20"/>
        <v>372.3187718348438</v>
      </c>
      <c r="L113" s="69">
        <f t="shared" si="20"/>
        <v>390.93471042658598</v>
      </c>
      <c r="M113" s="70">
        <f t="shared" si="20"/>
        <v>410.48144594791529</v>
      </c>
      <c r="N113" s="71">
        <f t="shared" si="20"/>
        <v>431.00551824531107</v>
      </c>
      <c r="O113" s="10">
        <f t="shared" si="20"/>
        <v>452.5557941575766</v>
      </c>
      <c r="P113" s="69">
        <f t="shared" si="20"/>
        <v>475.18358386545543</v>
      </c>
      <c r="Q113" s="10">
        <f t="shared" si="20"/>
        <v>498.94276305872819</v>
      </c>
      <c r="R113" s="69">
        <f t="shared" si="20"/>
        <v>523.88990121166455</v>
      </c>
      <c r="S113" s="70">
        <f t="shared" si="19"/>
        <v>550.08439627224777</v>
      </c>
      <c r="T113" s="15">
        <f t="shared" si="19"/>
        <v>577.58861608586017</v>
      </c>
      <c r="U113" s="16">
        <f t="shared" si="19"/>
        <v>606.46804689015312</v>
      </c>
      <c r="V113" s="17">
        <f t="shared" si="19"/>
        <v>636.79144923466083</v>
      </c>
      <c r="W113" s="16">
        <f t="shared" si="19"/>
        <v>668.63102169639387</v>
      </c>
      <c r="X113" s="17">
        <f t="shared" si="19"/>
        <v>702.06257278121359</v>
      </c>
      <c r="Y113" s="16">
        <f t="shared" si="19"/>
        <v>737.16570142027422</v>
      </c>
      <c r="Z113" s="18">
        <f t="shared" si="19"/>
        <v>774.02398649128793</v>
      </c>
    </row>
    <row r="114" spans="1:26" x14ac:dyDescent="0.2">
      <c r="A114" s="23">
        <v>38108</v>
      </c>
      <c r="B114" s="71">
        <v>240</v>
      </c>
      <c r="C114" s="10">
        <f t="shared" si="20"/>
        <v>252</v>
      </c>
      <c r="D114" s="69">
        <f t="shared" si="20"/>
        <v>264.60000000000002</v>
      </c>
      <c r="E114" s="10">
        <f t="shared" si="20"/>
        <v>277.83000000000004</v>
      </c>
      <c r="F114" s="69">
        <f t="shared" si="20"/>
        <v>291.72150000000005</v>
      </c>
      <c r="G114" s="70">
        <f t="shared" si="20"/>
        <v>306.30757500000004</v>
      </c>
      <c r="H114" s="71">
        <f t="shared" si="20"/>
        <v>321.62295375000002</v>
      </c>
      <c r="I114" s="10">
        <f t="shared" si="20"/>
        <v>337.70410143750001</v>
      </c>
      <c r="J114" s="69">
        <f t="shared" si="20"/>
        <v>354.58930650937504</v>
      </c>
      <c r="K114" s="10">
        <f t="shared" si="20"/>
        <v>372.3187718348438</v>
      </c>
      <c r="L114" s="69">
        <f t="shared" si="20"/>
        <v>390.93471042658598</v>
      </c>
      <c r="M114" s="70">
        <f t="shared" si="20"/>
        <v>410.48144594791529</v>
      </c>
      <c r="N114" s="71">
        <f t="shared" si="20"/>
        <v>431.00551824531107</v>
      </c>
      <c r="O114" s="10">
        <f t="shared" si="20"/>
        <v>452.5557941575766</v>
      </c>
      <c r="P114" s="69">
        <f t="shared" si="20"/>
        <v>475.18358386545543</v>
      </c>
      <c r="Q114" s="10">
        <f t="shared" si="20"/>
        <v>498.94276305872819</v>
      </c>
      <c r="R114" s="69">
        <f t="shared" si="20"/>
        <v>523.88990121166455</v>
      </c>
      <c r="S114" s="70">
        <f t="shared" si="19"/>
        <v>550.08439627224777</v>
      </c>
      <c r="T114" s="15">
        <f t="shared" si="19"/>
        <v>577.58861608586017</v>
      </c>
      <c r="U114" s="16">
        <f t="shared" si="19"/>
        <v>606.46804689015312</v>
      </c>
      <c r="V114" s="17">
        <f t="shared" si="19"/>
        <v>636.79144923466083</v>
      </c>
      <c r="W114" s="16">
        <f t="shared" si="19"/>
        <v>668.63102169639387</v>
      </c>
      <c r="X114" s="17">
        <f t="shared" si="19"/>
        <v>702.06257278121359</v>
      </c>
      <c r="Y114" s="16">
        <f t="shared" si="19"/>
        <v>737.16570142027422</v>
      </c>
      <c r="Z114" s="18">
        <f t="shared" si="19"/>
        <v>774.02398649128793</v>
      </c>
    </row>
    <row r="115" spans="1:26" x14ac:dyDescent="0.2">
      <c r="A115" s="23">
        <v>38139</v>
      </c>
      <c r="B115" s="71">
        <v>260</v>
      </c>
      <c r="C115" s="10">
        <f t="shared" si="20"/>
        <v>273</v>
      </c>
      <c r="D115" s="69">
        <f t="shared" si="20"/>
        <v>286.64999999999998</v>
      </c>
      <c r="E115" s="10">
        <f t="shared" si="20"/>
        <v>300.98249999999996</v>
      </c>
      <c r="F115" s="69">
        <f t="shared" si="20"/>
        <v>316.03162499999996</v>
      </c>
      <c r="G115" s="70">
        <f t="shared" si="20"/>
        <v>331.83320624999999</v>
      </c>
      <c r="H115" s="71">
        <f t="shared" si="20"/>
        <v>348.42486656249997</v>
      </c>
      <c r="I115" s="10">
        <f t="shared" si="20"/>
        <v>365.84610989062497</v>
      </c>
      <c r="J115" s="69">
        <f t="shared" si="20"/>
        <v>384.13841538515624</v>
      </c>
      <c r="K115" s="10">
        <f t="shared" si="20"/>
        <v>403.34533615441404</v>
      </c>
      <c r="L115" s="69">
        <f t="shared" si="20"/>
        <v>423.51260296213474</v>
      </c>
      <c r="M115" s="70">
        <f t="shared" si="20"/>
        <v>444.68823311024147</v>
      </c>
      <c r="N115" s="71">
        <f t="shared" si="20"/>
        <v>466.92264476575355</v>
      </c>
      <c r="O115" s="10">
        <f t="shared" si="20"/>
        <v>490.26877700404123</v>
      </c>
      <c r="P115" s="69">
        <f t="shared" si="20"/>
        <v>514.7822158542433</v>
      </c>
      <c r="Q115" s="10">
        <f t="shared" si="20"/>
        <v>540.52132664695546</v>
      </c>
      <c r="R115" s="69">
        <f t="shared" si="20"/>
        <v>567.54739297930325</v>
      </c>
      <c r="S115" s="70">
        <f t="shared" si="19"/>
        <v>595.92476262826847</v>
      </c>
      <c r="T115" s="15">
        <f t="shared" si="19"/>
        <v>625.72100075968194</v>
      </c>
      <c r="U115" s="16">
        <f t="shared" si="19"/>
        <v>657.00705079766601</v>
      </c>
      <c r="V115" s="17">
        <f t="shared" si="19"/>
        <v>689.85740333754927</v>
      </c>
      <c r="W115" s="16">
        <f t="shared" si="19"/>
        <v>724.3502735044267</v>
      </c>
      <c r="X115" s="17">
        <f t="shared" si="19"/>
        <v>760.56778717964801</v>
      </c>
      <c r="Y115" s="16">
        <f t="shared" si="19"/>
        <v>798.5961765386304</v>
      </c>
      <c r="Z115" s="18">
        <f t="shared" si="19"/>
        <v>838.52598536556195</v>
      </c>
    </row>
    <row r="116" spans="1:26" x14ac:dyDescent="0.2">
      <c r="A116" s="23">
        <v>38169</v>
      </c>
      <c r="B116" s="71">
        <v>260</v>
      </c>
      <c r="C116" s="10">
        <f t="shared" si="20"/>
        <v>273</v>
      </c>
      <c r="D116" s="69">
        <f t="shared" si="20"/>
        <v>286.64999999999998</v>
      </c>
      <c r="E116" s="10">
        <f t="shared" si="20"/>
        <v>300.98249999999996</v>
      </c>
      <c r="F116" s="69">
        <f t="shared" si="20"/>
        <v>316.03162499999996</v>
      </c>
      <c r="G116" s="70">
        <f t="shared" si="20"/>
        <v>331.83320624999999</v>
      </c>
      <c r="H116" s="71">
        <f t="shared" si="20"/>
        <v>348.42486656249997</v>
      </c>
      <c r="I116" s="10">
        <f t="shared" si="20"/>
        <v>365.84610989062497</v>
      </c>
      <c r="J116" s="69">
        <f t="shared" si="20"/>
        <v>384.13841538515624</v>
      </c>
      <c r="K116" s="10">
        <f t="shared" si="20"/>
        <v>403.34533615441404</v>
      </c>
      <c r="L116" s="69">
        <f t="shared" si="20"/>
        <v>423.51260296213474</v>
      </c>
      <c r="M116" s="70">
        <f t="shared" si="20"/>
        <v>444.68823311024147</v>
      </c>
      <c r="N116" s="71">
        <f t="shared" si="20"/>
        <v>466.92264476575355</v>
      </c>
      <c r="O116" s="10">
        <f t="shared" si="20"/>
        <v>490.26877700404123</v>
      </c>
      <c r="P116" s="69">
        <f t="shared" si="20"/>
        <v>514.7822158542433</v>
      </c>
      <c r="Q116" s="10">
        <f t="shared" si="20"/>
        <v>540.52132664695546</v>
      </c>
      <c r="R116" s="69">
        <f t="shared" si="20"/>
        <v>567.54739297930325</v>
      </c>
      <c r="S116" s="70">
        <f t="shared" ref="R116:Z131" si="21">(R116*0.05)+R116</f>
        <v>595.92476262826847</v>
      </c>
      <c r="T116" s="15">
        <f t="shared" si="21"/>
        <v>625.72100075968194</v>
      </c>
      <c r="U116" s="16">
        <f t="shared" si="21"/>
        <v>657.00705079766601</v>
      </c>
      <c r="V116" s="17">
        <f t="shared" si="21"/>
        <v>689.85740333754927</v>
      </c>
      <c r="W116" s="16">
        <f t="shared" si="21"/>
        <v>724.3502735044267</v>
      </c>
      <c r="X116" s="17">
        <f t="shared" si="21"/>
        <v>760.56778717964801</v>
      </c>
      <c r="Y116" s="16">
        <f t="shared" si="21"/>
        <v>798.5961765386304</v>
      </c>
      <c r="Z116" s="18">
        <f t="shared" si="21"/>
        <v>838.52598536556195</v>
      </c>
    </row>
    <row r="117" spans="1:26" x14ac:dyDescent="0.2">
      <c r="A117" s="23">
        <v>38200</v>
      </c>
      <c r="B117" s="71">
        <v>260</v>
      </c>
      <c r="C117" s="10">
        <f t="shared" ref="C117:R132" si="22">(B117*0.05)+B117</f>
        <v>273</v>
      </c>
      <c r="D117" s="69">
        <f t="shared" si="22"/>
        <v>286.64999999999998</v>
      </c>
      <c r="E117" s="10">
        <f t="shared" si="22"/>
        <v>300.98249999999996</v>
      </c>
      <c r="F117" s="69">
        <f t="shared" si="22"/>
        <v>316.03162499999996</v>
      </c>
      <c r="G117" s="70">
        <f t="shared" si="22"/>
        <v>331.83320624999999</v>
      </c>
      <c r="H117" s="71">
        <f t="shared" si="22"/>
        <v>348.42486656249997</v>
      </c>
      <c r="I117" s="10">
        <f t="shared" si="22"/>
        <v>365.84610989062497</v>
      </c>
      <c r="J117" s="69">
        <f t="shared" si="22"/>
        <v>384.13841538515624</v>
      </c>
      <c r="K117" s="10">
        <f t="shared" si="22"/>
        <v>403.34533615441404</v>
      </c>
      <c r="L117" s="69">
        <f t="shared" si="22"/>
        <v>423.51260296213474</v>
      </c>
      <c r="M117" s="70">
        <f t="shared" si="22"/>
        <v>444.68823311024147</v>
      </c>
      <c r="N117" s="71">
        <f t="shared" si="22"/>
        <v>466.92264476575355</v>
      </c>
      <c r="O117" s="10">
        <f t="shared" si="22"/>
        <v>490.26877700404123</v>
      </c>
      <c r="P117" s="69">
        <f t="shared" si="22"/>
        <v>514.7822158542433</v>
      </c>
      <c r="Q117" s="10">
        <f t="shared" si="22"/>
        <v>540.52132664695546</v>
      </c>
      <c r="R117" s="69">
        <f t="shared" si="22"/>
        <v>567.54739297930325</v>
      </c>
      <c r="S117" s="70">
        <f t="shared" si="21"/>
        <v>595.92476262826847</v>
      </c>
      <c r="T117" s="15">
        <f t="shared" si="21"/>
        <v>625.72100075968194</v>
      </c>
      <c r="U117" s="16">
        <f t="shared" si="21"/>
        <v>657.00705079766601</v>
      </c>
      <c r="V117" s="17">
        <f t="shared" si="21"/>
        <v>689.85740333754927</v>
      </c>
      <c r="W117" s="16">
        <f t="shared" si="21"/>
        <v>724.3502735044267</v>
      </c>
      <c r="X117" s="17">
        <f t="shared" si="21"/>
        <v>760.56778717964801</v>
      </c>
      <c r="Y117" s="16">
        <f t="shared" si="21"/>
        <v>798.5961765386304</v>
      </c>
      <c r="Z117" s="18">
        <f t="shared" si="21"/>
        <v>838.52598536556195</v>
      </c>
    </row>
    <row r="118" spans="1:26" x14ac:dyDescent="0.2">
      <c r="A118" s="23">
        <v>38231</v>
      </c>
      <c r="B118" s="71">
        <v>260</v>
      </c>
      <c r="C118" s="10">
        <f t="shared" si="22"/>
        <v>273</v>
      </c>
      <c r="D118" s="69">
        <f t="shared" si="22"/>
        <v>286.64999999999998</v>
      </c>
      <c r="E118" s="10">
        <f t="shared" si="22"/>
        <v>300.98249999999996</v>
      </c>
      <c r="F118" s="69">
        <f t="shared" si="22"/>
        <v>316.03162499999996</v>
      </c>
      <c r="G118" s="70">
        <f t="shared" si="22"/>
        <v>331.83320624999999</v>
      </c>
      <c r="H118" s="71">
        <f t="shared" si="22"/>
        <v>348.42486656249997</v>
      </c>
      <c r="I118" s="10">
        <f t="shared" si="22"/>
        <v>365.84610989062497</v>
      </c>
      <c r="J118" s="69">
        <f t="shared" si="22"/>
        <v>384.13841538515624</v>
      </c>
      <c r="K118" s="10">
        <f t="shared" si="22"/>
        <v>403.34533615441404</v>
      </c>
      <c r="L118" s="69">
        <f t="shared" si="22"/>
        <v>423.51260296213474</v>
      </c>
      <c r="M118" s="70">
        <f t="shared" si="22"/>
        <v>444.68823311024147</v>
      </c>
      <c r="N118" s="71">
        <f t="shared" si="22"/>
        <v>466.92264476575355</v>
      </c>
      <c r="O118" s="10">
        <f t="shared" si="22"/>
        <v>490.26877700404123</v>
      </c>
      <c r="P118" s="69">
        <f t="shared" si="22"/>
        <v>514.7822158542433</v>
      </c>
      <c r="Q118" s="10">
        <f t="shared" si="22"/>
        <v>540.52132664695546</v>
      </c>
      <c r="R118" s="69">
        <f t="shared" si="22"/>
        <v>567.54739297930325</v>
      </c>
      <c r="S118" s="70">
        <f t="shared" si="21"/>
        <v>595.92476262826847</v>
      </c>
      <c r="T118" s="15">
        <f t="shared" si="21"/>
        <v>625.72100075968194</v>
      </c>
      <c r="U118" s="16">
        <f t="shared" si="21"/>
        <v>657.00705079766601</v>
      </c>
      <c r="V118" s="17">
        <f t="shared" si="21"/>
        <v>689.85740333754927</v>
      </c>
      <c r="W118" s="16">
        <f t="shared" si="21"/>
        <v>724.3502735044267</v>
      </c>
      <c r="X118" s="17">
        <f t="shared" si="21"/>
        <v>760.56778717964801</v>
      </c>
      <c r="Y118" s="16">
        <f t="shared" si="21"/>
        <v>798.5961765386304</v>
      </c>
      <c r="Z118" s="18">
        <f t="shared" si="21"/>
        <v>838.52598536556195</v>
      </c>
    </row>
    <row r="119" spans="1:26" x14ac:dyDescent="0.2">
      <c r="A119" s="23">
        <v>38261</v>
      </c>
      <c r="B119" s="71">
        <v>260</v>
      </c>
      <c r="C119" s="10">
        <f t="shared" si="22"/>
        <v>273</v>
      </c>
      <c r="D119" s="69">
        <f t="shared" si="22"/>
        <v>286.64999999999998</v>
      </c>
      <c r="E119" s="10">
        <f t="shared" si="22"/>
        <v>300.98249999999996</v>
      </c>
      <c r="F119" s="69">
        <f t="shared" si="22"/>
        <v>316.03162499999996</v>
      </c>
      <c r="G119" s="70">
        <f t="shared" si="22"/>
        <v>331.83320624999999</v>
      </c>
      <c r="H119" s="71">
        <f t="shared" si="22"/>
        <v>348.42486656249997</v>
      </c>
      <c r="I119" s="10">
        <f t="shared" si="22"/>
        <v>365.84610989062497</v>
      </c>
      <c r="J119" s="69">
        <f t="shared" si="22"/>
        <v>384.13841538515624</v>
      </c>
      <c r="K119" s="10">
        <f t="shared" si="22"/>
        <v>403.34533615441404</v>
      </c>
      <c r="L119" s="69">
        <f t="shared" si="22"/>
        <v>423.51260296213474</v>
      </c>
      <c r="M119" s="70">
        <f t="shared" si="22"/>
        <v>444.68823311024147</v>
      </c>
      <c r="N119" s="71">
        <f t="shared" si="22"/>
        <v>466.92264476575355</v>
      </c>
      <c r="O119" s="10">
        <f t="shared" si="22"/>
        <v>490.26877700404123</v>
      </c>
      <c r="P119" s="69">
        <f t="shared" si="22"/>
        <v>514.7822158542433</v>
      </c>
      <c r="Q119" s="10">
        <f t="shared" si="22"/>
        <v>540.52132664695546</v>
      </c>
      <c r="R119" s="69">
        <f t="shared" si="22"/>
        <v>567.54739297930325</v>
      </c>
      <c r="S119" s="70">
        <f t="shared" si="21"/>
        <v>595.92476262826847</v>
      </c>
      <c r="T119" s="15">
        <f t="shared" si="21"/>
        <v>625.72100075968194</v>
      </c>
      <c r="U119" s="16">
        <f t="shared" si="21"/>
        <v>657.00705079766601</v>
      </c>
      <c r="V119" s="17">
        <f t="shared" si="21"/>
        <v>689.85740333754927</v>
      </c>
      <c r="W119" s="16">
        <f t="shared" si="21"/>
        <v>724.3502735044267</v>
      </c>
      <c r="X119" s="17">
        <f t="shared" si="21"/>
        <v>760.56778717964801</v>
      </c>
      <c r="Y119" s="16">
        <f t="shared" si="21"/>
        <v>798.5961765386304</v>
      </c>
      <c r="Z119" s="18">
        <f t="shared" si="21"/>
        <v>838.52598536556195</v>
      </c>
    </row>
    <row r="120" spans="1:26" x14ac:dyDescent="0.2">
      <c r="A120" s="23">
        <v>38292</v>
      </c>
      <c r="B120" s="71">
        <v>260</v>
      </c>
      <c r="C120" s="10">
        <f t="shared" si="22"/>
        <v>273</v>
      </c>
      <c r="D120" s="69">
        <f t="shared" si="22"/>
        <v>286.64999999999998</v>
      </c>
      <c r="E120" s="10">
        <f t="shared" si="22"/>
        <v>300.98249999999996</v>
      </c>
      <c r="F120" s="69">
        <f t="shared" si="22"/>
        <v>316.03162499999996</v>
      </c>
      <c r="G120" s="70">
        <f t="shared" si="22"/>
        <v>331.83320624999999</v>
      </c>
      <c r="H120" s="71">
        <f t="shared" si="22"/>
        <v>348.42486656249997</v>
      </c>
      <c r="I120" s="10">
        <f t="shared" si="22"/>
        <v>365.84610989062497</v>
      </c>
      <c r="J120" s="69">
        <f t="shared" si="22"/>
        <v>384.13841538515624</v>
      </c>
      <c r="K120" s="10">
        <f t="shared" si="22"/>
        <v>403.34533615441404</v>
      </c>
      <c r="L120" s="69">
        <f t="shared" si="22"/>
        <v>423.51260296213474</v>
      </c>
      <c r="M120" s="70">
        <f t="shared" si="22"/>
        <v>444.68823311024147</v>
      </c>
      <c r="N120" s="71">
        <f t="shared" si="22"/>
        <v>466.92264476575355</v>
      </c>
      <c r="O120" s="10">
        <f t="shared" si="22"/>
        <v>490.26877700404123</v>
      </c>
      <c r="P120" s="69">
        <f t="shared" si="22"/>
        <v>514.7822158542433</v>
      </c>
      <c r="Q120" s="10">
        <f t="shared" si="22"/>
        <v>540.52132664695546</v>
      </c>
      <c r="R120" s="69">
        <f t="shared" si="22"/>
        <v>567.54739297930325</v>
      </c>
      <c r="S120" s="70">
        <f t="shared" si="21"/>
        <v>595.92476262826847</v>
      </c>
      <c r="T120" s="15">
        <f t="shared" si="21"/>
        <v>625.72100075968194</v>
      </c>
      <c r="U120" s="16">
        <f t="shared" si="21"/>
        <v>657.00705079766601</v>
      </c>
      <c r="V120" s="17">
        <f t="shared" si="21"/>
        <v>689.85740333754927</v>
      </c>
      <c r="W120" s="16">
        <f t="shared" si="21"/>
        <v>724.3502735044267</v>
      </c>
      <c r="X120" s="17">
        <f t="shared" si="21"/>
        <v>760.56778717964801</v>
      </c>
      <c r="Y120" s="16">
        <f t="shared" si="21"/>
        <v>798.5961765386304</v>
      </c>
      <c r="Z120" s="18">
        <f t="shared" si="21"/>
        <v>838.52598536556195</v>
      </c>
    </row>
    <row r="121" spans="1:26" x14ac:dyDescent="0.2">
      <c r="A121" s="23">
        <v>38322</v>
      </c>
      <c r="B121" s="71">
        <v>260</v>
      </c>
      <c r="C121" s="10">
        <f t="shared" si="22"/>
        <v>273</v>
      </c>
      <c r="D121" s="69">
        <f t="shared" si="22"/>
        <v>286.64999999999998</v>
      </c>
      <c r="E121" s="10">
        <f t="shared" si="22"/>
        <v>300.98249999999996</v>
      </c>
      <c r="F121" s="69">
        <f t="shared" si="22"/>
        <v>316.03162499999996</v>
      </c>
      <c r="G121" s="70">
        <f t="shared" si="22"/>
        <v>331.83320624999999</v>
      </c>
      <c r="H121" s="71">
        <f t="shared" si="22"/>
        <v>348.42486656249997</v>
      </c>
      <c r="I121" s="10">
        <f t="shared" si="22"/>
        <v>365.84610989062497</v>
      </c>
      <c r="J121" s="69">
        <f t="shared" si="22"/>
        <v>384.13841538515624</v>
      </c>
      <c r="K121" s="10">
        <f t="shared" si="22"/>
        <v>403.34533615441404</v>
      </c>
      <c r="L121" s="69">
        <f t="shared" si="22"/>
        <v>423.51260296213474</v>
      </c>
      <c r="M121" s="70">
        <f t="shared" si="22"/>
        <v>444.68823311024147</v>
      </c>
      <c r="N121" s="71">
        <f t="shared" si="22"/>
        <v>466.92264476575355</v>
      </c>
      <c r="O121" s="10">
        <f t="shared" si="22"/>
        <v>490.26877700404123</v>
      </c>
      <c r="P121" s="69">
        <f t="shared" si="22"/>
        <v>514.7822158542433</v>
      </c>
      <c r="Q121" s="10">
        <f t="shared" si="22"/>
        <v>540.52132664695546</v>
      </c>
      <c r="R121" s="69">
        <f t="shared" si="22"/>
        <v>567.54739297930325</v>
      </c>
      <c r="S121" s="70">
        <f t="shared" si="21"/>
        <v>595.92476262826847</v>
      </c>
      <c r="T121" s="15">
        <f t="shared" si="21"/>
        <v>625.72100075968194</v>
      </c>
      <c r="U121" s="16">
        <f t="shared" si="21"/>
        <v>657.00705079766601</v>
      </c>
      <c r="V121" s="17">
        <f t="shared" si="21"/>
        <v>689.85740333754927</v>
      </c>
      <c r="W121" s="16">
        <f t="shared" si="21"/>
        <v>724.3502735044267</v>
      </c>
      <c r="X121" s="17">
        <f t="shared" si="21"/>
        <v>760.56778717964801</v>
      </c>
      <c r="Y121" s="16">
        <f t="shared" si="21"/>
        <v>798.5961765386304</v>
      </c>
      <c r="Z121" s="18">
        <f t="shared" si="21"/>
        <v>838.52598536556195</v>
      </c>
    </row>
    <row r="122" spans="1:26" x14ac:dyDescent="0.2">
      <c r="A122" s="23">
        <v>38353</v>
      </c>
      <c r="B122" s="71">
        <v>260</v>
      </c>
      <c r="C122" s="10">
        <f t="shared" si="22"/>
        <v>273</v>
      </c>
      <c r="D122" s="69">
        <f t="shared" si="22"/>
        <v>286.64999999999998</v>
      </c>
      <c r="E122" s="10">
        <f t="shared" si="22"/>
        <v>300.98249999999996</v>
      </c>
      <c r="F122" s="69">
        <f t="shared" si="22"/>
        <v>316.03162499999996</v>
      </c>
      <c r="G122" s="70">
        <f t="shared" si="22"/>
        <v>331.83320624999999</v>
      </c>
      <c r="H122" s="71">
        <f t="shared" si="22"/>
        <v>348.42486656249997</v>
      </c>
      <c r="I122" s="10">
        <f t="shared" si="22"/>
        <v>365.84610989062497</v>
      </c>
      <c r="J122" s="69">
        <f t="shared" si="22"/>
        <v>384.13841538515624</v>
      </c>
      <c r="K122" s="10">
        <f t="shared" si="22"/>
        <v>403.34533615441404</v>
      </c>
      <c r="L122" s="69">
        <f t="shared" si="22"/>
        <v>423.51260296213474</v>
      </c>
      <c r="M122" s="70">
        <f t="shared" si="22"/>
        <v>444.68823311024147</v>
      </c>
      <c r="N122" s="71">
        <f t="shared" si="22"/>
        <v>466.92264476575355</v>
      </c>
      <c r="O122" s="10">
        <f t="shared" si="22"/>
        <v>490.26877700404123</v>
      </c>
      <c r="P122" s="69">
        <f t="shared" si="22"/>
        <v>514.7822158542433</v>
      </c>
      <c r="Q122" s="10">
        <f t="shared" si="22"/>
        <v>540.52132664695546</v>
      </c>
      <c r="R122" s="69">
        <f t="shared" si="22"/>
        <v>567.54739297930325</v>
      </c>
      <c r="S122" s="70">
        <f t="shared" si="21"/>
        <v>595.92476262826847</v>
      </c>
      <c r="T122" s="15">
        <f t="shared" si="21"/>
        <v>625.72100075968194</v>
      </c>
      <c r="U122" s="16">
        <f t="shared" si="21"/>
        <v>657.00705079766601</v>
      </c>
      <c r="V122" s="17">
        <f t="shared" si="21"/>
        <v>689.85740333754927</v>
      </c>
      <c r="W122" s="16">
        <f t="shared" si="21"/>
        <v>724.3502735044267</v>
      </c>
      <c r="X122" s="17">
        <f t="shared" si="21"/>
        <v>760.56778717964801</v>
      </c>
      <c r="Y122" s="16">
        <f t="shared" si="21"/>
        <v>798.5961765386304</v>
      </c>
      <c r="Z122" s="18">
        <f t="shared" si="21"/>
        <v>838.52598536556195</v>
      </c>
    </row>
    <row r="123" spans="1:26" x14ac:dyDescent="0.2">
      <c r="A123" s="23">
        <v>38384</v>
      </c>
      <c r="B123" s="71">
        <v>260</v>
      </c>
      <c r="C123" s="10">
        <f t="shared" si="22"/>
        <v>273</v>
      </c>
      <c r="D123" s="69">
        <f t="shared" si="22"/>
        <v>286.64999999999998</v>
      </c>
      <c r="E123" s="10">
        <f t="shared" si="22"/>
        <v>300.98249999999996</v>
      </c>
      <c r="F123" s="69">
        <f t="shared" si="22"/>
        <v>316.03162499999996</v>
      </c>
      <c r="G123" s="70">
        <f t="shared" si="22"/>
        <v>331.83320624999999</v>
      </c>
      <c r="H123" s="71">
        <f t="shared" si="22"/>
        <v>348.42486656249997</v>
      </c>
      <c r="I123" s="10">
        <f t="shared" si="22"/>
        <v>365.84610989062497</v>
      </c>
      <c r="J123" s="69">
        <f t="shared" si="22"/>
        <v>384.13841538515624</v>
      </c>
      <c r="K123" s="10">
        <f t="shared" si="22"/>
        <v>403.34533615441404</v>
      </c>
      <c r="L123" s="69">
        <f t="shared" si="22"/>
        <v>423.51260296213474</v>
      </c>
      <c r="M123" s="70">
        <f t="shared" si="22"/>
        <v>444.68823311024147</v>
      </c>
      <c r="N123" s="71">
        <f t="shared" si="22"/>
        <v>466.92264476575355</v>
      </c>
      <c r="O123" s="10">
        <f t="shared" si="22"/>
        <v>490.26877700404123</v>
      </c>
      <c r="P123" s="69">
        <f t="shared" si="22"/>
        <v>514.7822158542433</v>
      </c>
      <c r="Q123" s="10">
        <f t="shared" si="22"/>
        <v>540.52132664695546</v>
      </c>
      <c r="R123" s="69">
        <f t="shared" si="21"/>
        <v>567.54739297930325</v>
      </c>
      <c r="S123" s="70">
        <f t="shared" si="21"/>
        <v>595.92476262826847</v>
      </c>
      <c r="T123" s="15">
        <f t="shared" si="21"/>
        <v>625.72100075968194</v>
      </c>
      <c r="U123" s="16">
        <f t="shared" si="21"/>
        <v>657.00705079766601</v>
      </c>
      <c r="V123" s="17">
        <f t="shared" si="21"/>
        <v>689.85740333754927</v>
      </c>
      <c r="W123" s="16">
        <f t="shared" si="21"/>
        <v>724.3502735044267</v>
      </c>
      <c r="X123" s="17">
        <f t="shared" si="21"/>
        <v>760.56778717964801</v>
      </c>
      <c r="Y123" s="16">
        <f t="shared" si="21"/>
        <v>798.5961765386304</v>
      </c>
      <c r="Z123" s="18">
        <f t="shared" si="21"/>
        <v>838.52598536556195</v>
      </c>
    </row>
    <row r="124" spans="1:26" x14ac:dyDescent="0.2">
      <c r="A124" s="23">
        <v>38412</v>
      </c>
      <c r="B124" s="71">
        <v>260</v>
      </c>
      <c r="C124" s="10">
        <f t="shared" si="22"/>
        <v>273</v>
      </c>
      <c r="D124" s="69">
        <f t="shared" si="22"/>
        <v>286.64999999999998</v>
      </c>
      <c r="E124" s="10">
        <f t="shared" si="22"/>
        <v>300.98249999999996</v>
      </c>
      <c r="F124" s="69">
        <f t="shared" si="22"/>
        <v>316.03162499999996</v>
      </c>
      <c r="G124" s="70">
        <f t="shared" si="22"/>
        <v>331.83320624999999</v>
      </c>
      <c r="H124" s="71">
        <f t="shared" si="22"/>
        <v>348.42486656249997</v>
      </c>
      <c r="I124" s="10">
        <f t="shared" si="22"/>
        <v>365.84610989062497</v>
      </c>
      <c r="J124" s="69">
        <f t="shared" si="22"/>
        <v>384.13841538515624</v>
      </c>
      <c r="K124" s="10">
        <f t="shared" si="22"/>
        <v>403.34533615441404</v>
      </c>
      <c r="L124" s="69">
        <f t="shared" si="22"/>
        <v>423.51260296213474</v>
      </c>
      <c r="M124" s="70">
        <f t="shared" si="22"/>
        <v>444.68823311024147</v>
      </c>
      <c r="N124" s="71">
        <f t="shared" si="22"/>
        <v>466.92264476575355</v>
      </c>
      <c r="O124" s="10">
        <f t="shared" si="22"/>
        <v>490.26877700404123</v>
      </c>
      <c r="P124" s="69">
        <f t="shared" si="22"/>
        <v>514.7822158542433</v>
      </c>
      <c r="Q124" s="10">
        <f t="shared" si="22"/>
        <v>540.52132664695546</v>
      </c>
      <c r="R124" s="69">
        <f t="shared" si="21"/>
        <v>567.54739297930325</v>
      </c>
      <c r="S124" s="70">
        <f t="shared" si="21"/>
        <v>595.92476262826847</v>
      </c>
      <c r="T124" s="15">
        <f t="shared" si="21"/>
        <v>625.72100075968194</v>
      </c>
      <c r="U124" s="16">
        <f t="shared" si="21"/>
        <v>657.00705079766601</v>
      </c>
      <c r="V124" s="17">
        <f t="shared" si="21"/>
        <v>689.85740333754927</v>
      </c>
      <c r="W124" s="16">
        <f t="shared" si="21"/>
        <v>724.3502735044267</v>
      </c>
      <c r="X124" s="17">
        <f t="shared" si="21"/>
        <v>760.56778717964801</v>
      </c>
      <c r="Y124" s="16">
        <f t="shared" si="21"/>
        <v>798.5961765386304</v>
      </c>
      <c r="Z124" s="18">
        <f t="shared" si="21"/>
        <v>838.52598536556195</v>
      </c>
    </row>
    <row r="125" spans="1:26" x14ac:dyDescent="0.2">
      <c r="A125" s="23">
        <v>38443</v>
      </c>
      <c r="B125" s="71">
        <v>260</v>
      </c>
      <c r="C125" s="10">
        <f t="shared" si="22"/>
        <v>273</v>
      </c>
      <c r="D125" s="69">
        <f t="shared" si="22"/>
        <v>286.64999999999998</v>
      </c>
      <c r="E125" s="10">
        <f t="shared" si="22"/>
        <v>300.98249999999996</v>
      </c>
      <c r="F125" s="69">
        <f t="shared" si="22"/>
        <v>316.03162499999996</v>
      </c>
      <c r="G125" s="70">
        <f t="shared" si="22"/>
        <v>331.83320624999999</v>
      </c>
      <c r="H125" s="71">
        <f t="shared" si="22"/>
        <v>348.42486656249997</v>
      </c>
      <c r="I125" s="10">
        <f t="shared" si="22"/>
        <v>365.84610989062497</v>
      </c>
      <c r="J125" s="69">
        <f t="shared" si="22"/>
        <v>384.13841538515624</v>
      </c>
      <c r="K125" s="10">
        <f t="shared" si="22"/>
        <v>403.34533615441404</v>
      </c>
      <c r="L125" s="69">
        <f t="shared" si="22"/>
        <v>423.51260296213474</v>
      </c>
      <c r="M125" s="70">
        <f t="shared" si="22"/>
        <v>444.68823311024147</v>
      </c>
      <c r="N125" s="71">
        <f t="shared" si="22"/>
        <v>466.92264476575355</v>
      </c>
      <c r="O125" s="10">
        <f t="shared" si="22"/>
        <v>490.26877700404123</v>
      </c>
      <c r="P125" s="69">
        <f t="shared" si="22"/>
        <v>514.7822158542433</v>
      </c>
      <c r="Q125" s="10">
        <f t="shared" si="22"/>
        <v>540.52132664695546</v>
      </c>
      <c r="R125" s="69">
        <f t="shared" si="21"/>
        <v>567.54739297930325</v>
      </c>
      <c r="S125" s="70">
        <f t="shared" si="21"/>
        <v>595.92476262826847</v>
      </c>
      <c r="T125" s="15">
        <f t="shared" si="21"/>
        <v>625.72100075968194</v>
      </c>
      <c r="U125" s="16">
        <f t="shared" si="21"/>
        <v>657.00705079766601</v>
      </c>
      <c r="V125" s="17">
        <f t="shared" si="21"/>
        <v>689.85740333754927</v>
      </c>
      <c r="W125" s="16">
        <f t="shared" si="21"/>
        <v>724.3502735044267</v>
      </c>
      <c r="X125" s="17">
        <f t="shared" si="21"/>
        <v>760.56778717964801</v>
      </c>
      <c r="Y125" s="16">
        <f t="shared" si="21"/>
        <v>798.5961765386304</v>
      </c>
      <c r="Z125" s="18">
        <f t="shared" si="21"/>
        <v>838.52598536556195</v>
      </c>
    </row>
    <row r="126" spans="1:26" x14ac:dyDescent="0.2">
      <c r="A126" s="23">
        <v>38473</v>
      </c>
      <c r="B126" s="71">
        <v>280</v>
      </c>
      <c r="C126" s="10">
        <f t="shared" si="22"/>
        <v>294</v>
      </c>
      <c r="D126" s="69">
        <f t="shared" si="22"/>
        <v>308.7</v>
      </c>
      <c r="E126" s="10">
        <f t="shared" si="22"/>
        <v>324.13499999999999</v>
      </c>
      <c r="F126" s="69">
        <f t="shared" si="22"/>
        <v>340.34174999999999</v>
      </c>
      <c r="G126" s="70">
        <f t="shared" si="22"/>
        <v>357.35883749999999</v>
      </c>
      <c r="H126" s="71">
        <f t="shared" si="22"/>
        <v>375.22677937499998</v>
      </c>
      <c r="I126" s="10">
        <f t="shared" si="22"/>
        <v>393.98811834374999</v>
      </c>
      <c r="J126" s="69">
        <f t="shared" si="22"/>
        <v>413.68752426093749</v>
      </c>
      <c r="K126" s="10">
        <f t="shared" si="22"/>
        <v>434.3719004739844</v>
      </c>
      <c r="L126" s="69">
        <f t="shared" si="22"/>
        <v>456.09049549768361</v>
      </c>
      <c r="M126" s="70">
        <f t="shared" si="22"/>
        <v>478.89502027256776</v>
      </c>
      <c r="N126" s="71">
        <f t="shared" si="22"/>
        <v>502.83977128619614</v>
      </c>
      <c r="O126" s="10">
        <f t="shared" si="22"/>
        <v>527.98175985050591</v>
      </c>
      <c r="P126" s="69">
        <f t="shared" si="22"/>
        <v>554.38084784303123</v>
      </c>
      <c r="Q126" s="10">
        <f t="shared" si="22"/>
        <v>582.09989023518278</v>
      </c>
      <c r="R126" s="69">
        <f t="shared" si="21"/>
        <v>611.20488474694196</v>
      </c>
      <c r="S126" s="70">
        <f t="shared" si="21"/>
        <v>641.76512898428905</v>
      </c>
      <c r="T126" s="15">
        <f t="shared" si="21"/>
        <v>673.85338543350349</v>
      </c>
      <c r="U126" s="16">
        <f t="shared" si="21"/>
        <v>707.54605470517868</v>
      </c>
      <c r="V126" s="17">
        <f t="shared" si="21"/>
        <v>742.9233574404376</v>
      </c>
      <c r="W126" s="16">
        <f t="shared" si="21"/>
        <v>780.06952531245952</v>
      </c>
      <c r="X126" s="17">
        <f t="shared" si="21"/>
        <v>819.07300157808254</v>
      </c>
      <c r="Y126" s="16">
        <f t="shared" si="21"/>
        <v>860.0266516569867</v>
      </c>
      <c r="Z126" s="18">
        <f t="shared" si="21"/>
        <v>903.02798423983609</v>
      </c>
    </row>
    <row r="127" spans="1:26" x14ac:dyDescent="0.2">
      <c r="A127" s="23">
        <v>38504</v>
      </c>
      <c r="B127" s="71">
        <v>280</v>
      </c>
      <c r="C127" s="10">
        <f t="shared" si="22"/>
        <v>294</v>
      </c>
      <c r="D127" s="69">
        <f t="shared" si="22"/>
        <v>308.7</v>
      </c>
      <c r="E127" s="10">
        <f t="shared" si="22"/>
        <v>324.13499999999999</v>
      </c>
      <c r="F127" s="69">
        <f t="shared" si="22"/>
        <v>340.34174999999999</v>
      </c>
      <c r="G127" s="70">
        <f t="shared" si="22"/>
        <v>357.35883749999999</v>
      </c>
      <c r="H127" s="71">
        <f t="shared" si="22"/>
        <v>375.22677937499998</v>
      </c>
      <c r="I127" s="10">
        <f t="shared" si="22"/>
        <v>393.98811834374999</v>
      </c>
      <c r="J127" s="69">
        <f t="shared" si="22"/>
        <v>413.68752426093749</v>
      </c>
      <c r="K127" s="10">
        <f t="shared" si="22"/>
        <v>434.3719004739844</v>
      </c>
      <c r="L127" s="69">
        <f t="shared" si="22"/>
        <v>456.09049549768361</v>
      </c>
      <c r="M127" s="70">
        <f t="shared" si="22"/>
        <v>478.89502027256776</v>
      </c>
      <c r="N127" s="71">
        <f t="shared" si="22"/>
        <v>502.83977128619614</v>
      </c>
      <c r="O127" s="10">
        <f t="shared" si="22"/>
        <v>527.98175985050591</v>
      </c>
      <c r="P127" s="69">
        <f t="shared" si="22"/>
        <v>554.38084784303123</v>
      </c>
      <c r="Q127" s="10">
        <f t="shared" si="22"/>
        <v>582.09989023518278</v>
      </c>
      <c r="R127" s="69">
        <f t="shared" si="21"/>
        <v>611.20488474694196</v>
      </c>
      <c r="S127" s="70">
        <f t="shared" si="21"/>
        <v>641.76512898428905</v>
      </c>
      <c r="T127" s="15">
        <f t="shared" si="21"/>
        <v>673.85338543350349</v>
      </c>
      <c r="U127" s="16">
        <f t="shared" si="21"/>
        <v>707.54605470517868</v>
      </c>
      <c r="V127" s="17">
        <f t="shared" si="21"/>
        <v>742.9233574404376</v>
      </c>
      <c r="W127" s="16">
        <f t="shared" si="21"/>
        <v>780.06952531245952</v>
      </c>
      <c r="X127" s="17">
        <f t="shared" si="21"/>
        <v>819.07300157808254</v>
      </c>
      <c r="Y127" s="16">
        <f t="shared" si="21"/>
        <v>860.0266516569867</v>
      </c>
      <c r="Z127" s="18">
        <f t="shared" si="21"/>
        <v>903.02798423983609</v>
      </c>
    </row>
    <row r="128" spans="1:26" x14ac:dyDescent="0.2">
      <c r="A128" s="23">
        <v>38534</v>
      </c>
      <c r="B128" s="71">
        <v>280</v>
      </c>
      <c r="C128" s="10">
        <f t="shared" si="22"/>
        <v>294</v>
      </c>
      <c r="D128" s="69">
        <f t="shared" si="22"/>
        <v>308.7</v>
      </c>
      <c r="E128" s="10">
        <f t="shared" si="22"/>
        <v>324.13499999999999</v>
      </c>
      <c r="F128" s="69">
        <f t="shared" si="22"/>
        <v>340.34174999999999</v>
      </c>
      <c r="G128" s="70">
        <f t="shared" si="22"/>
        <v>357.35883749999999</v>
      </c>
      <c r="H128" s="71">
        <f t="shared" si="22"/>
        <v>375.22677937499998</v>
      </c>
      <c r="I128" s="10">
        <f t="shared" si="22"/>
        <v>393.98811834374999</v>
      </c>
      <c r="J128" s="69">
        <f t="shared" si="22"/>
        <v>413.68752426093749</v>
      </c>
      <c r="K128" s="10">
        <f t="shared" si="22"/>
        <v>434.3719004739844</v>
      </c>
      <c r="L128" s="69">
        <f t="shared" si="22"/>
        <v>456.09049549768361</v>
      </c>
      <c r="M128" s="70">
        <f t="shared" si="22"/>
        <v>478.89502027256776</v>
      </c>
      <c r="N128" s="71">
        <f t="shared" si="22"/>
        <v>502.83977128619614</v>
      </c>
      <c r="O128" s="10">
        <f t="shared" si="22"/>
        <v>527.98175985050591</v>
      </c>
      <c r="P128" s="69">
        <f t="shared" si="22"/>
        <v>554.38084784303123</v>
      </c>
      <c r="Q128" s="10">
        <f t="shared" si="22"/>
        <v>582.09989023518278</v>
      </c>
      <c r="R128" s="69">
        <f t="shared" si="21"/>
        <v>611.20488474694196</v>
      </c>
      <c r="S128" s="70">
        <f t="shared" si="21"/>
        <v>641.76512898428905</v>
      </c>
      <c r="T128" s="15">
        <f t="shared" si="21"/>
        <v>673.85338543350349</v>
      </c>
      <c r="U128" s="16">
        <f t="shared" si="21"/>
        <v>707.54605470517868</v>
      </c>
      <c r="V128" s="17">
        <f t="shared" si="21"/>
        <v>742.9233574404376</v>
      </c>
      <c r="W128" s="16">
        <f t="shared" si="21"/>
        <v>780.06952531245952</v>
      </c>
      <c r="X128" s="17">
        <f t="shared" si="21"/>
        <v>819.07300157808254</v>
      </c>
      <c r="Y128" s="16">
        <f t="shared" si="21"/>
        <v>860.0266516569867</v>
      </c>
      <c r="Z128" s="18">
        <f t="shared" si="21"/>
        <v>903.02798423983609</v>
      </c>
    </row>
    <row r="129" spans="1:26" x14ac:dyDescent="0.2">
      <c r="A129" s="23">
        <v>38565</v>
      </c>
      <c r="B129" s="71">
        <v>280</v>
      </c>
      <c r="C129" s="10">
        <f t="shared" si="22"/>
        <v>294</v>
      </c>
      <c r="D129" s="69">
        <f t="shared" si="22"/>
        <v>308.7</v>
      </c>
      <c r="E129" s="10">
        <f t="shared" si="22"/>
        <v>324.13499999999999</v>
      </c>
      <c r="F129" s="69">
        <f t="shared" si="22"/>
        <v>340.34174999999999</v>
      </c>
      <c r="G129" s="70">
        <f t="shared" si="22"/>
        <v>357.35883749999999</v>
      </c>
      <c r="H129" s="71">
        <f t="shared" si="22"/>
        <v>375.22677937499998</v>
      </c>
      <c r="I129" s="10">
        <f t="shared" si="22"/>
        <v>393.98811834374999</v>
      </c>
      <c r="J129" s="69">
        <f t="shared" si="22"/>
        <v>413.68752426093749</v>
      </c>
      <c r="K129" s="10">
        <f t="shared" si="22"/>
        <v>434.3719004739844</v>
      </c>
      <c r="L129" s="69">
        <f t="shared" si="22"/>
        <v>456.09049549768361</v>
      </c>
      <c r="M129" s="70">
        <f t="shared" si="22"/>
        <v>478.89502027256776</v>
      </c>
      <c r="N129" s="71">
        <f t="shared" si="22"/>
        <v>502.83977128619614</v>
      </c>
      <c r="O129" s="10">
        <f t="shared" si="22"/>
        <v>527.98175985050591</v>
      </c>
      <c r="P129" s="69">
        <f t="shared" si="22"/>
        <v>554.38084784303123</v>
      </c>
      <c r="Q129" s="10">
        <f t="shared" si="22"/>
        <v>582.09989023518278</v>
      </c>
      <c r="R129" s="69">
        <f t="shared" si="21"/>
        <v>611.20488474694196</v>
      </c>
      <c r="S129" s="70">
        <f t="shared" si="21"/>
        <v>641.76512898428905</v>
      </c>
      <c r="T129" s="15">
        <f t="shared" si="21"/>
        <v>673.85338543350349</v>
      </c>
      <c r="U129" s="16">
        <f t="shared" si="21"/>
        <v>707.54605470517868</v>
      </c>
      <c r="V129" s="17">
        <f t="shared" si="21"/>
        <v>742.9233574404376</v>
      </c>
      <c r="W129" s="16">
        <f t="shared" si="21"/>
        <v>780.06952531245952</v>
      </c>
      <c r="X129" s="17">
        <f t="shared" si="21"/>
        <v>819.07300157808254</v>
      </c>
      <c r="Y129" s="16">
        <f t="shared" si="21"/>
        <v>860.0266516569867</v>
      </c>
      <c r="Z129" s="18">
        <f t="shared" si="21"/>
        <v>903.02798423983609</v>
      </c>
    </row>
    <row r="130" spans="1:26" x14ac:dyDescent="0.2">
      <c r="A130" s="23">
        <v>38596</v>
      </c>
      <c r="B130" s="71">
        <v>280</v>
      </c>
      <c r="C130" s="10">
        <f t="shared" si="22"/>
        <v>294</v>
      </c>
      <c r="D130" s="69">
        <f t="shared" si="22"/>
        <v>308.7</v>
      </c>
      <c r="E130" s="10">
        <f t="shared" si="22"/>
        <v>324.13499999999999</v>
      </c>
      <c r="F130" s="69">
        <f t="shared" si="22"/>
        <v>340.34174999999999</v>
      </c>
      <c r="G130" s="70">
        <f t="shared" si="22"/>
        <v>357.35883749999999</v>
      </c>
      <c r="H130" s="71">
        <f t="shared" si="22"/>
        <v>375.22677937499998</v>
      </c>
      <c r="I130" s="10">
        <f t="shared" si="22"/>
        <v>393.98811834374999</v>
      </c>
      <c r="J130" s="69">
        <f t="shared" si="22"/>
        <v>413.68752426093749</v>
      </c>
      <c r="K130" s="10">
        <f t="shared" si="22"/>
        <v>434.3719004739844</v>
      </c>
      <c r="L130" s="69">
        <f t="shared" si="22"/>
        <v>456.09049549768361</v>
      </c>
      <c r="M130" s="70">
        <f t="shared" si="22"/>
        <v>478.89502027256776</v>
      </c>
      <c r="N130" s="71">
        <f t="shared" si="22"/>
        <v>502.83977128619614</v>
      </c>
      <c r="O130" s="10">
        <f t="shared" si="22"/>
        <v>527.98175985050591</v>
      </c>
      <c r="P130" s="69">
        <f t="shared" si="22"/>
        <v>554.38084784303123</v>
      </c>
      <c r="Q130" s="10">
        <f t="shared" si="22"/>
        <v>582.09989023518278</v>
      </c>
      <c r="R130" s="69">
        <f t="shared" si="21"/>
        <v>611.20488474694196</v>
      </c>
      <c r="S130" s="70">
        <f t="shared" si="21"/>
        <v>641.76512898428905</v>
      </c>
      <c r="T130" s="15">
        <f t="shared" si="21"/>
        <v>673.85338543350349</v>
      </c>
      <c r="U130" s="16">
        <f t="shared" si="21"/>
        <v>707.54605470517868</v>
      </c>
      <c r="V130" s="17">
        <f t="shared" si="21"/>
        <v>742.9233574404376</v>
      </c>
      <c r="W130" s="16">
        <f t="shared" si="21"/>
        <v>780.06952531245952</v>
      </c>
      <c r="X130" s="17">
        <f t="shared" si="21"/>
        <v>819.07300157808254</v>
      </c>
      <c r="Y130" s="16">
        <f t="shared" si="21"/>
        <v>860.0266516569867</v>
      </c>
      <c r="Z130" s="18">
        <f t="shared" si="21"/>
        <v>903.02798423983609</v>
      </c>
    </row>
    <row r="131" spans="1:26" x14ac:dyDescent="0.2">
      <c r="A131" s="23">
        <v>38626</v>
      </c>
      <c r="B131" s="71">
        <v>280</v>
      </c>
      <c r="C131" s="10">
        <f t="shared" si="22"/>
        <v>294</v>
      </c>
      <c r="D131" s="69">
        <f t="shared" si="22"/>
        <v>308.7</v>
      </c>
      <c r="E131" s="10">
        <f t="shared" si="22"/>
        <v>324.13499999999999</v>
      </c>
      <c r="F131" s="69">
        <f t="shared" si="22"/>
        <v>340.34174999999999</v>
      </c>
      <c r="G131" s="70">
        <f t="shared" si="22"/>
        <v>357.35883749999999</v>
      </c>
      <c r="H131" s="71">
        <f t="shared" si="22"/>
        <v>375.22677937499998</v>
      </c>
      <c r="I131" s="10">
        <f t="shared" si="22"/>
        <v>393.98811834374999</v>
      </c>
      <c r="J131" s="69">
        <f t="shared" si="22"/>
        <v>413.68752426093749</v>
      </c>
      <c r="K131" s="10">
        <f t="shared" si="22"/>
        <v>434.3719004739844</v>
      </c>
      <c r="L131" s="69">
        <f t="shared" si="22"/>
        <v>456.09049549768361</v>
      </c>
      <c r="M131" s="70">
        <f t="shared" si="22"/>
        <v>478.89502027256776</v>
      </c>
      <c r="N131" s="71">
        <f t="shared" si="22"/>
        <v>502.83977128619614</v>
      </c>
      <c r="O131" s="10">
        <f t="shared" si="22"/>
        <v>527.98175985050591</v>
      </c>
      <c r="P131" s="69">
        <f t="shared" si="22"/>
        <v>554.38084784303123</v>
      </c>
      <c r="Q131" s="10">
        <f t="shared" si="22"/>
        <v>582.09989023518278</v>
      </c>
      <c r="R131" s="69">
        <f t="shared" si="21"/>
        <v>611.20488474694196</v>
      </c>
      <c r="S131" s="70">
        <f t="shared" si="21"/>
        <v>641.76512898428905</v>
      </c>
      <c r="T131" s="15">
        <f t="shared" si="21"/>
        <v>673.85338543350349</v>
      </c>
      <c r="U131" s="16">
        <f t="shared" si="21"/>
        <v>707.54605470517868</v>
      </c>
      <c r="V131" s="17">
        <f t="shared" si="21"/>
        <v>742.9233574404376</v>
      </c>
      <c r="W131" s="16">
        <f t="shared" si="21"/>
        <v>780.06952531245952</v>
      </c>
      <c r="X131" s="17">
        <f t="shared" si="21"/>
        <v>819.07300157808254</v>
      </c>
      <c r="Y131" s="16">
        <f t="shared" si="21"/>
        <v>860.0266516569867</v>
      </c>
      <c r="Z131" s="18">
        <f t="shared" si="21"/>
        <v>903.02798423983609</v>
      </c>
    </row>
    <row r="132" spans="1:26" x14ac:dyDescent="0.2">
      <c r="A132" s="23">
        <v>38657</v>
      </c>
      <c r="B132" s="71">
        <v>280</v>
      </c>
      <c r="C132" s="10">
        <f t="shared" si="22"/>
        <v>294</v>
      </c>
      <c r="D132" s="69">
        <f t="shared" si="22"/>
        <v>308.7</v>
      </c>
      <c r="E132" s="10">
        <f t="shared" si="22"/>
        <v>324.13499999999999</v>
      </c>
      <c r="F132" s="69">
        <f t="shared" si="22"/>
        <v>340.34174999999999</v>
      </c>
      <c r="G132" s="70">
        <f t="shared" si="22"/>
        <v>357.35883749999999</v>
      </c>
      <c r="H132" s="71">
        <f t="shared" si="22"/>
        <v>375.22677937499998</v>
      </c>
      <c r="I132" s="10">
        <f t="shared" si="22"/>
        <v>393.98811834374999</v>
      </c>
      <c r="J132" s="69">
        <f t="shared" si="22"/>
        <v>413.68752426093749</v>
      </c>
      <c r="K132" s="10">
        <f t="shared" si="22"/>
        <v>434.3719004739844</v>
      </c>
      <c r="L132" s="69">
        <f t="shared" si="22"/>
        <v>456.09049549768361</v>
      </c>
      <c r="M132" s="70">
        <f t="shared" si="22"/>
        <v>478.89502027256776</v>
      </c>
      <c r="N132" s="71">
        <f t="shared" si="22"/>
        <v>502.83977128619614</v>
      </c>
      <c r="O132" s="10">
        <f t="shared" si="22"/>
        <v>527.98175985050591</v>
      </c>
      <c r="P132" s="69">
        <f t="shared" si="22"/>
        <v>554.38084784303123</v>
      </c>
      <c r="Q132" s="10">
        <f t="shared" si="22"/>
        <v>582.09989023518278</v>
      </c>
      <c r="R132" s="69">
        <f t="shared" si="22"/>
        <v>611.20488474694196</v>
      </c>
      <c r="S132" s="70">
        <f t="shared" ref="R132:Z147" si="23">(R132*0.05)+R132</f>
        <v>641.76512898428905</v>
      </c>
      <c r="T132" s="15">
        <f t="shared" si="23"/>
        <v>673.85338543350349</v>
      </c>
      <c r="U132" s="16">
        <f t="shared" si="23"/>
        <v>707.54605470517868</v>
      </c>
      <c r="V132" s="17">
        <f t="shared" si="23"/>
        <v>742.9233574404376</v>
      </c>
      <c r="W132" s="16">
        <f t="shared" si="23"/>
        <v>780.06952531245952</v>
      </c>
      <c r="X132" s="17">
        <f t="shared" si="23"/>
        <v>819.07300157808254</v>
      </c>
      <c r="Y132" s="16">
        <f t="shared" si="23"/>
        <v>860.0266516569867</v>
      </c>
      <c r="Z132" s="18">
        <f t="shared" si="23"/>
        <v>903.02798423983609</v>
      </c>
    </row>
    <row r="133" spans="1:26" x14ac:dyDescent="0.2">
      <c r="A133" s="23">
        <v>38687</v>
      </c>
      <c r="B133" s="71">
        <v>280</v>
      </c>
      <c r="C133" s="10">
        <f t="shared" ref="C133:R148" si="24">(B133*0.05)+B133</f>
        <v>294</v>
      </c>
      <c r="D133" s="69">
        <f t="shared" si="24"/>
        <v>308.7</v>
      </c>
      <c r="E133" s="10">
        <f t="shared" si="24"/>
        <v>324.13499999999999</v>
      </c>
      <c r="F133" s="69">
        <f t="shared" si="24"/>
        <v>340.34174999999999</v>
      </c>
      <c r="G133" s="70">
        <f t="shared" si="24"/>
        <v>357.35883749999999</v>
      </c>
      <c r="H133" s="71">
        <f t="shared" si="24"/>
        <v>375.22677937499998</v>
      </c>
      <c r="I133" s="10">
        <f t="shared" si="24"/>
        <v>393.98811834374999</v>
      </c>
      <c r="J133" s="69">
        <f t="shared" si="24"/>
        <v>413.68752426093749</v>
      </c>
      <c r="K133" s="10">
        <f t="shared" si="24"/>
        <v>434.3719004739844</v>
      </c>
      <c r="L133" s="69">
        <f t="shared" si="24"/>
        <v>456.09049549768361</v>
      </c>
      <c r="M133" s="70">
        <f t="shared" si="24"/>
        <v>478.89502027256776</v>
      </c>
      <c r="N133" s="71">
        <f t="shared" si="24"/>
        <v>502.83977128619614</v>
      </c>
      <c r="O133" s="10">
        <f t="shared" si="24"/>
        <v>527.98175985050591</v>
      </c>
      <c r="P133" s="69">
        <f t="shared" si="24"/>
        <v>554.38084784303123</v>
      </c>
      <c r="Q133" s="10">
        <f t="shared" si="24"/>
        <v>582.09989023518278</v>
      </c>
      <c r="R133" s="69">
        <f t="shared" si="23"/>
        <v>611.20488474694196</v>
      </c>
      <c r="S133" s="70">
        <f t="shared" si="23"/>
        <v>641.76512898428905</v>
      </c>
      <c r="T133" s="15">
        <f t="shared" si="23"/>
        <v>673.85338543350349</v>
      </c>
      <c r="U133" s="16">
        <f t="shared" si="23"/>
        <v>707.54605470517868</v>
      </c>
      <c r="V133" s="17">
        <f t="shared" si="23"/>
        <v>742.9233574404376</v>
      </c>
      <c r="W133" s="16">
        <f t="shared" si="23"/>
        <v>780.06952531245952</v>
      </c>
      <c r="X133" s="17">
        <f t="shared" si="23"/>
        <v>819.07300157808254</v>
      </c>
      <c r="Y133" s="16">
        <f t="shared" si="23"/>
        <v>860.0266516569867</v>
      </c>
      <c r="Z133" s="18">
        <f t="shared" si="23"/>
        <v>903.02798423983609</v>
      </c>
    </row>
    <row r="134" spans="1:26" x14ac:dyDescent="0.2">
      <c r="A134" s="23">
        <v>38718</v>
      </c>
      <c r="B134" s="71">
        <v>280</v>
      </c>
      <c r="C134" s="10">
        <f t="shared" si="24"/>
        <v>294</v>
      </c>
      <c r="D134" s="69">
        <f t="shared" si="24"/>
        <v>308.7</v>
      </c>
      <c r="E134" s="10">
        <f t="shared" si="24"/>
        <v>324.13499999999999</v>
      </c>
      <c r="F134" s="69">
        <f t="shared" si="24"/>
        <v>340.34174999999999</v>
      </c>
      <c r="G134" s="70">
        <f t="shared" si="24"/>
        <v>357.35883749999999</v>
      </c>
      <c r="H134" s="71">
        <f t="shared" si="24"/>
        <v>375.22677937499998</v>
      </c>
      <c r="I134" s="10">
        <f t="shared" si="24"/>
        <v>393.98811834374999</v>
      </c>
      <c r="J134" s="69">
        <f t="shared" si="24"/>
        <v>413.68752426093749</v>
      </c>
      <c r="K134" s="10">
        <f t="shared" si="24"/>
        <v>434.3719004739844</v>
      </c>
      <c r="L134" s="69">
        <f t="shared" si="24"/>
        <v>456.09049549768361</v>
      </c>
      <c r="M134" s="70">
        <f t="shared" si="24"/>
        <v>478.89502027256776</v>
      </c>
      <c r="N134" s="71">
        <f t="shared" si="24"/>
        <v>502.83977128619614</v>
      </c>
      <c r="O134" s="10">
        <f t="shared" si="24"/>
        <v>527.98175985050591</v>
      </c>
      <c r="P134" s="69">
        <f t="shared" si="24"/>
        <v>554.38084784303123</v>
      </c>
      <c r="Q134" s="10">
        <f t="shared" si="24"/>
        <v>582.09989023518278</v>
      </c>
      <c r="R134" s="69">
        <f t="shared" si="23"/>
        <v>611.20488474694196</v>
      </c>
      <c r="S134" s="70">
        <f t="shared" si="23"/>
        <v>641.76512898428905</v>
      </c>
      <c r="T134" s="15">
        <f t="shared" si="23"/>
        <v>673.85338543350349</v>
      </c>
      <c r="U134" s="16">
        <f t="shared" si="23"/>
        <v>707.54605470517868</v>
      </c>
      <c r="V134" s="17">
        <f t="shared" si="23"/>
        <v>742.9233574404376</v>
      </c>
      <c r="W134" s="16">
        <f t="shared" si="23"/>
        <v>780.06952531245952</v>
      </c>
      <c r="X134" s="17">
        <f t="shared" si="23"/>
        <v>819.07300157808254</v>
      </c>
      <c r="Y134" s="16">
        <f t="shared" si="23"/>
        <v>860.0266516569867</v>
      </c>
      <c r="Z134" s="18">
        <f t="shared" si="23"/>
        <v>903.02798423983609</v>
      </c>
    </row>
    <row r="135" spans="1:26" x14ac:dyDescent="0.2">
      <c r="A135" s="23">
        <v>38749</v>
      </c>
      <c r="B135" s="71">
        <v>280</v>
      </c>
      <c r="C135" s="10">
        <f t="shared" si="24"/>
        <v>294</v>
      </c>
      <c r="D135" s="69">
        <f t="shared" si="24"/>
        <v>308.7</v>
      </c>
      <c r="E135" s="10">
        <f t="shared" si="24"/>
        <v>324.13499999999999</v>
      </c>
      <c r="F135" s="69">
        <f t="shared" si="24"/>
        <v>340.34174999999999</v>
      </c>
      <c r="G135" s="70">
        <f t="shared" si="24"/>
        <v>357.35883749999999</v>
      </c>
      <c r="H135" s="71">
        <f t="shared" si="24"/>
        <v>375.22677937499998</v>
      </c>
      <c r="I135" s="10">
        <f t="shared" si="24"/>
        <v>393.98811834374999</v>
      </c>
      <c r="J135" s="69">
        <f t="shared" si="24"/>
        <v>413.68752426093749</v>
      </c>
      <c r="K135" s="10">
        <f t="shared" si="24"/>
        <v>434.3719004739844</v>
      </c>
      <c r="L135" s="69">
        <f t="shared" si="24"/>
        <v>456.09049549768361</v>
      </c>
      <c r="M135" s="70">
        <f t="shared" si="24"/>
        <v>478.89502027256776</v>
      </c>
      <c r="N135" s="71">
        <f t="shared" si="24"/>
        <v>502.83977128619614</v>
      </c>
      <c r="O135" s="10">
        <f t="shared" si="24"/>
        <v>527.98175985050591</v>
      </c>
      <c r="P135" s="69">
        <f t="shared" si="24"/>
        <v>554.38084784303123</v>
      </c>
      <c r="Q135" s="10">
        <f t="shared" si="24"/>
        <v>582.09989023518278</v>
      </c>
      <c r="R135" s="69">
        <f t="shared" si="23"/>
        <v>611.20488474694196</v>
      </c>
      <c r="S135" s="70">
        <f t="shared" si="23"/>
        <v>641.76512898428905</v>
      </c>
      <c r="T135" s="15">
        <f t="shared" si="23"/>
        <v>673.85338543350349</v>
      </c>
      <c r="U135" s="16">
        <f t="shared" si="23"/>
        <v>707.54605470517868</v>
      </c>
      <c r="V135" s="17">
        <f t="shared" si="23"/>
        <v>742.9233574404376</v>
      </c>
      <c r="W135" s="16">
        <f t="shared" si="23"/>
        <v>780.06952531245952</v>
      </c>
      <c r="X135" s="17">
        <f t="shared" si="23"/>
        <v>819.07300157808254</v>
      </c>
      <c r="Y135" s="16">
        <f t="shared" si="23"/>
        <v>860.0266516569867</v>
      </c>
      <c r="Z135" s="18">
        <f t="shared" si="23"/>
        <v>903.02798423983609</v>
      </c>
    </row>
    <row r="136" spans="1:26" x14ac:dyDescent="0.2">
      <c r="A136" s="23">
        <v>38777</v>
      </c>
      <c r="B136" s="71">
        <v>280</v>
      </c>
      <c r="C136" s="10">
        <f t="shared" si="24"/>
        <v>294</v>
      </c>
      <c r="D136" s="69">
        <f t="shared" si="24"/>
        <v>308.7</v>
      </c>
      <c r="E136" s="10">
        <f t="shared" si="24"/>
        <v>324.13499999999999</v>
      </c>
      <c r="F136" s="69">
        <f t="shared" si="24"/>
        <v>340.34174999999999</v>
      </c>
      <c r="G136" s="70">
        <f t="shared" si="24"/>
        <v>357.35883749999999</v>
      </c>
      <c r="H136" s="71">
        <f t="shared" si="24"/>
        <v>375.22677937499998</v>
      </c>
      <c r="I136" s="10">
        <f t="shared" si="24"/>
        <v>393.98811834374999</v>
      </c>
      <c r="J136" s="69">
        <f t="shared" si="24"/>
        <v>413.68752426093749</v>
      </c>
      <c r="K136" s="10">
        <f t="shared" si="24"/>
        <v>434.3719004739844</v>
      </c>
      <c r="L136" s="69">
        <f t="shared" si="24"/>
        <v>456.09049549768361</v>
      </c>
      <c r="M136" s="70">
        <f t="shared" si="24"/>
        <v>478.89502027256776</v>
      </c>
      <c r="N136" s="71">
        <f t="shared" si="24"/>
        <v>502.83977128619614</v>
      </c>
      <c r="O136" s="10">
        <f t="shared" si="24"/>
        <v>527.98175985050591</v>
      </c>
      <c r="P136" s="69">
        <f t="shared" si="24"/>
        <v>554.38084784303123</v>
      </c>
      <c r="Q136" s="10">
        <f t="shared" si="24"/>
        <v>582.09989023518278</v>
      </c>
      <c r="R136" s="69">
        <f t="shared" si="23"/>
        <v>611.20488474694196</v>
      </c>
      <c r="S136" s="70">
        <f t="shared" si="23"/>
        <v>641.76512898428905</v>
      </c>
      <c r="T136" s="15">
        <f t="shared" si="23"/>
        <v>673.85338543350349</v>
      </c>
      <c r="U136" s="16">
        <f t="shared" si="23"/>
        <v>707.54605470517868</v>
      </c>
      <c r="V136" s="17">
        <f t="shared" si="23"/>
        <v>742.9233574404376</v>
      </c>
      <c r="W136" s="16">
        <f t="shared" si="23"/>
        <v>780.06952531245952</v>
      </c>
      <c r="X136" s="17">
        <f t="shared" si="23"/>
        <v>819.07300157808254</v>
      </c>
      <c r="Y136" s="16">
        <f t="shared" si="23"/>
        <v>860.0266516569867</v>
      </c>
      <c r="Z136" s="18">
        <f t="shared" si="23"/>
        <v>903.02798423983609</v>
      </c>
    </row>
    <row r="137" spans="1:26" x14ac:dyDescent="0.2">
      <c r="A137" s="23">
        <v>38808</v>
      </c>
      <c r="B137" s="71">
        <v>303.24</v>
      </c>
      <c r="C137" s="10">
        <f t="shared" si="24"/>
        <v>318.40199999999999</v>
      </c>
      <c r="D137" s="69">
        <f t="shared" si="24"/>
        <v>334.32209999999998</v>
      </c>
      <c r="E137" s="10">
        <f t="shared" si="24"/>
        <v>351.03820499999995</v>
      </c>
      <c r="F137" s="69">
        <f t="shared" si="24"/>
        <v>368.59011524999994</v>
      </c>
      <c r="G137" s="70">
        <f t="shared" si="24"/>
        <v>387.01962101249995</v>
      </c>
      <c r="H137" s="71">
        <f t="shared" si="24"/>
        <v>406.37060206312498</v>
      </c>
      <c r="I137" s="10">
        <f t="shared" si="24"/>
        <v>426.68913216628124</v>
      </c>
      <c r="J137" s="69">
        <f t="shared" si="24"/>
        <v>448.02358877459528</v>
      </c>
      <c r="K137" s="10">
        <f t="shared" si="24"/>
        <v>470.42476821332502</v>
      </c>
      <c r="L137" s="69">
        <f t="shared" si="24"/>
        <v>493.94600662399125</v>
      </c>
      <c r="M137" s="70">
        <f t="shared" si="24"/>
        <v>518.64330695519084</v>
      </c>
      <c r="N137" s="71">
        <f t="shared" si="24"/>
        <v>544.5754723029504</v>
      </c>
      <c r="O137" s="10">
        <f t="shared" si="24"/>
        <v>571.80424591809788</v>
      </c>
      <c r="P137" s="69">
        <f t="shared" si="24"/>
        <v>600.39445821400273</v>
      </c>
      <c r="Q137" s="10">
        <f t="shared" si="24"/>
        <v>630.41418112470285</v>
      </c>
      <c r="R137" s="69">
        <f t="shared" si="23"/>
        <v>661.93489018093794</v>
      </c>
      <c r="S137" s="70">
        <f t="shared" si="23"/>
        <v>695.0316346899848</v>
      </c>
      <c r="T137" s="15">
        <f t="shared" si="23"/>
        <v>729.78321642448407</v>
      </c>
      <c r="U137" s="16">
        <f t="shared" si="23"/>
        <v>766.2723772457083</v>
      </c>
      <c r="V137" s="17">
        <f t="shared" si="23"/>
        <v>804.58599610799376</v>
      </c>
      <c r="W137" s="16">
        <f t="shared" si="23"/>
        <v>844.81529591339347</v>
      </c>
      <c r="X137" s="17">
        <f t="shared" si="23"/>
        <v>887.0560607090631</v>
      </c>
      <c r="Y137" s="16">
        <f t="shared" si="23"/>
        <v>931.40886374451622</v>
      </c>
      <c r="Z137" s="18">
        <f t="shared" si="23"/>
        <v>977.97930693174203</v>
      </c>
    </row>
    <row r="138" spans="1:26" x14ac:dyDescent="0.2">
      <c r="A138" s="23">
        <v>38838</v>
      </c>
      <c r="B138" s="71">
        <v>303.24</v>
      </c>
      <c r="C138" s="10">
        <f t="shared" si="24"/>
        <v>318.40199999999999</v>
      </c>
      <c r="D138" s="69">
        <f t="shared" si="24"/>
        <v>334.32209999999998</v>
      </c>
      <c r="E138" s="10">
        <f t="shared" si="24"/>
        <v>351.03820499999995</v>
      </c>
      <c r="F138" s="69">
        <f t="shared" si="24"/>
        <v>368.59011524999994</v>
      </c>
      <c r="G138" s="70">
        <f t="shared" si="24"/>
        <v>387.01962101249995</v>
      </c>
      <c r="H138" s="71">
        <f t="shared" si="24"/>
        <v>406.37060206312498</v>
      </c>
      <c r="I138" s="10">
        <f t="shared" si="24"/>
        <v>426.68913216628124</v>
      </c>
      <c r="J138" s="69">
        <f t="shared" si="24"/>
        <v>448.02358877459528</v>
      </c>
      <c r="K138" s="10">
        <f t="shared" si="24"/>
        <v>470.42476821332502</v>
      </c>
      <c r="L138" s="69">
        <f t="shared" si="24"/>
        <v>493.94600662399125</v>
      </c>
      <c r="M138" s="70">
        <f t="shared" si="24"/>
        <v>518.64330695519084</v>
      </c>
      <c r="N138" s="71">
        <f t="shared" si="24"/>
        <v>544.5754723029504</v>
      </c>
      <c r="O138" s="10">
        <f t="shared" si="24"/>
        <v>571.80424591809788</v>
      </c>
      <c r="P138" s="69">
        <f t="shared" si="24"/>
        <v>600.39445821400273</v>
      </c>
      <c r="Q138" s="10">
        <f t="shared" si="24"/>
        <v>630.41418112470285</v>
      </c>
      <c r="R138" s="69">
        <f t="shared" si="24"/>
        <v>661.93489018093794</v>
      </c>
      <c r="S138" s="70">
        <f t="shared" si="23"/>
        <v>695.0316346899848</v>
      </c>
      <c r="T138" s="15">
        <f t="shared" si="23"/>
        <v>729.78321642448407</v>
      </c>
      <c r="U138" s="16">
        <f t="shared" si="23"/>
        <v>766.2723772457083</v>
      </c>
      <c r="V138" s="17">
        <f t="shared" si="23"/>
        <v>804.58599610799376</v>
      </c>
      <c r="W138" s="16">
        <f t="shared" si="23"/>
        <v>844.81529591339347</v>
      </c>
      <c r="X138" s="17">
        <f t="shared" si="23"/>
        <v>887.0560607090631</v>
      </c>
      <c r="Y138" s="16">
        <f t="shared" si="23"/>
        <v>931.40886374451622</v>
      </c>
      <c r="Z138" s="18">
        <f t="shared" si="23"/>
        <v>977.97930693174203</v>
      </c>
    </row>
    <row r="139" spans="1:26" x14ac:dyDescent="0.2">
      <c r="A139" s="23">
        <v>38869</v>
      </c>
      <c r="B139" s="71">
        <v>303.24</v>
      </c>
      <c r="C139" s="10">
        <f t="shared" si="24"/>
        <v>318.40199999999999</v>
      </c>
      <c r="D139" s="69">
        <f t="shared" si="24"/>
        <v>334.32209999999998</v>
      </c>
      <c r="E139" s="10">
        <f t="shared" si="24"/>
        <v>351.03820499999995</v>
      </c>
      <c r="F139" s="69">
        <f t="shared" si="24"/>
        <v>368.59011524999994</v>
      </c>
      <c r="G139" s="70">
        <f t="shared" si="24"/>
        <v>387.01962101249995</v>
      </c>
      <c r="H139" s="71">
        <f t="shared" si="24"/>
        <v>406.37060206312498</v>
      </c>
      <c r="I139" s="10">
        <f t="shared" si="24"/>
        <v>426.68913216628124</v>
      </c>
      <c r="J139" s="69">
        <f t="shared" si="24"/>
        <v>448.02358877459528</v>
      </c>
      <c r="K139" s="10">
        <f t="shared" si="24"/>
        <v>470.42476821332502</v>
      </c>
      <c r="L139" s="69">
        <f t="shared" si="24"/>
        <v>493.94600662399125</v>
      </c>
      <c r="M139" s="70">
        <f t="shared" si="24"/>
        <v>518.64330695519084</v>
      </c>
      <c r="N139" s="71">
        <f t="shared" si="24"/>
        <v>544.5754723029504</v>
      </c>
      <c r="O139" s="10">
        <f t="shared" si="24"/>
        <v>571.80424591809788</v>
      </c>
      <c r="P139" s="69">
        <f t="shared" si="24"/>
        <v>600.39445821400273</v>
      </c>
      <c r="Q139" s="10">
        <f t="shared" si="24"/>
        <v>630.41418112470285</v>
      </c>
      <c r="R139" s="69">
        <f t="shared" si="24"/>
        <v>661.93489018093794</v>
      </c>
      <c r="S139" s="70">
        <f t="shared" si="23"/>
        <v>695.0316346899848</v>
      </c>
      <c r="T139" s="15">
        <f t="shared" si="23"/>
        <v>729.78321642448407</v>
      </c>
      <c r="U139" s="16">
        <f t="shared" si="23"/>
        <v>766.2723772457083</v>
      </c>
      <c r="V139" s="17">
        <f t="shared" si="23"/>
        <v>804.58599610799376</v>
      </c>
      <c r="W139" s="16">
        <f t="shared" si="23"/>
        <v>844.81529591339347</v>
      </c>
      <c r="X139" s="17">
        <f t="shared" si="23"/>
        <v>887.0560607090631</v>
      </c>
      <c r="Y139" s="16">
        <f t="shared" si="23"/>
        <v>931.40886374451622</v>
      </c>
      <c r="Z139" s="18">
        <f t="shared" si="23"/>
        <v>977.97930693174203</v>
      </c>
    </row>
    <row r="140" spans="1:26" x14ac:dyDescent="0.2">
      <c r="A140" s="23">
        <v>38899</v>
      </c>
      <c r="B140" s="71">
        <v>303.24</v>
      </c>
      <c r="C140" s="10">
        <f t="shared" si="24"/>
        <v>318.40199999999999</v>
      </c>
      <c r="D140" s="69">
        <f t="shared" si="24"/>
        <v>334.32209999999998</v>
      </c>
      <c r="E140" s="10">
        <f t="shared" si="24"/>
        <v>351.03820499999995</v>
      </c>
      <c r="F140" s="69">
        <f t="shared" si="24"/>
        <v>368.59011524999994</v>
      </c>
      <c r="G140" s="70">
        <f t="shared" si="24"/>
        <v>387.01962101249995</v>
      </c>
      <c r="H140" s="71">
        <f t="shared" si="24"/>
        <v>406.37060206312498</v>
      </c>
      <c r="I140" s="10">
        <f t="shared" si="24"/>
        <v>426.68913216628124</v>
      </c>
      <c r="J140" s="69">
        <f t="shared" si="24"/>
        <v>448.02358877459528</v>
      </c>
      <c r="K140" s="10">
        <f t="shared" si="24"/>
        <v>470.42476821332502</v>
      </c>
      <c r="L140" s="69">
        <f t="shared" si="24"/>
        <v>493.94600662399125</v>
      </c>
      <c r="M140" s="70">
        <f t="shared" si="24"/>
        <v>518.64330695519084</v>
      </c>
      <c r="N140" s="71">
        <f t="shared" si="24"/>
        <v>544.5754723029504</v>
      </c>
      <c r="O140" s="10">
        <f t="shared" si="24"/>
        <v>571.80424591809788</v>
      </c>
      <c r="P140" s="69">
        <f t="shared" si="24"/>
        <v>600.39445821400273</v>
      </c>
      <c r="Q140" s="10">
        <f t="shared" si="24"/>
        <v>630.41418112470285</v>
      </c>
      <c r="R140" s="69">
        <f t="shared" si="24"/>
        <v>661.93489018093794</v>
      </c>
      <c r="S140" s="70">
        <f t="shared" si="23"/>
        <v>695.0316346899848</v>
      </c>
      <c r="T140" s="15">
        <f t="shared" si="23"/>
        <v>729.78321642448407</v>
      </c>
      <c r="U140" s="16">
        <f t="shared" si="23"/>
        <v>766.2723772457083</v>
      </c>
      <c r="V140" s="17">
        <f t="shared" si="23"/>
        <v>804.58599610799376</v>
      </c>
      <c r="W140" s="16">
        <f t="shared" si="23"/>
        <v>844.81529591339347</v>
      </c>
      <c r="X140" s="17">
        <f t="shared" si="23"/>
        <v>887.0560607090631</v>
      </c>
      <c r="Y140" s="16">
        <f t="shared" si="23"/>
        <v>931.40886374451622</v>
      </c>
      <c r="Z140" s="18">
        <f t="shared" si="23"/>
        <v>977.97930693174203</v>
      </c>
    </row>
    <row r="141" spans="1:26" x14ac:dyDescent="0.2">
      <c r="A141" s="23">
        <v>38930</v>
      </c>
      <c r="B141" s="71">
        <v>303.24</v>
      </c>
      <c r="C141" s="10">
        <f t="shared" si="24"/>
        <v>318.40199999999999</v>
      </c>
      <c r="D141" s="69">
        <f t="shared" si="24"/>
        <v>334.32209999999998</v>
      </c>
      <c r="E141" s="10">
        <f t="shared" si="24"/>
        <v>351.03820499999995</v>
      </c>
      <c r="F141" s="69">
        <f t="shared" si="24"/>
        <v>368.59011524999994</v>
      </c>
      <c r="G141" s="70">
        <f t="shared" si="24"/>
        <v>387.01962101249995</v>
      </c>
      <c r="H141" s="71">
        <f t="shared" si="24"/>
        <v>406.37060206312498</v>
      </c>
      <c r="I141" s="10">
        <f t="shared" si="24"/>
        <v>426.68913216628124</v>
      </c>
      <c r="J141" s="69">
        <f t="shared" si="24"/>
        <v>448.02358877459528</v>
      </c>
      <c r="K141" s="10">
        <f t="shared" si="24"/>
        <v>470.42476821332502</v>
      </c>
      <c r="L141" s="69">
        <f t="shared" si="24"/>
        <v>493.94600662399125</v>
      </c>
      <c r="M141" s="70">
        <f t="shared" si="24"/>
        <v>518.64330695519084</v>
      </c>
      <c r="N141" s="71">
        <f t="shared" si="24"/>
        <v>544.5754723029504</v>
      </c>
      <c r="O141" s="10">
        <f t="shared" si="24"/>
        <v>571.80424591809788</v>
      </c>
      <c r="P141" s="69">
        <f t="shared" si="24"/>
        <v>600.39445821400273</v>
      </c>
      <c r="Q141" s="10">
        <f t="shared" si="24"/>
        <v>630.41418112470285</v>
      </c>
      <c r="R141" s="69">
        <f t="shared" si="24"/>
        <v>661.93489018093794</v>
      </c>
      <c r="S141" s="70">
        <f t="shared" si="23"/>
        <v>695.0316346899848</v>
      </c>
      <c r="T141" s="15">
        <f t="shared" si="23"/>
        <v>729.78321642448407</v>
      </c>
      <c r="U141" s="16">
        <f t="shared" si="23"/>
        <v>766.2723772457083</v>
      </c>
      <c r="V141" s="17">
        <f t="shared" si="23"/>
        <v>804.58599610799376</v>
      </c>
      <c r="W141" s="16">
        <f t="shared" si="23"/>
        <v>844.81529591339347</v>
      </c>
      <c r="X141" s="17">
        <f t="shared" si="23"/>
        <v>887.0560607090631</v>
      </c>
      <c r="Y141" s="16">
        <f t="shared" si="23"/>
        <v>931.40886374451622</v>
      </c>
      <c r="Z141" s="18">
        <f t="shared" si="23"/>
        <v>977.97930693174203</v>
      </c>
    </row>
    <row r="142" spans="1:26" x14ac:dyDescent="0.2">
      <c r="A142" s="23">
        <v>38961</v>
      </c>
      <c r="B142" s="71">
        <v>303.24</v>
      </c>
      <c r="C142" s="10">
        <f t="shared" si="24"/>
        <v>318.40199999999999</v>
      </c>
      <c r="D142" s="69">
        <f t="shared" si="24"/>
        <v>334.32209999999998</v>
      </c>
      <c r="E142" s="10">
        <f t="shared" si="24"/>
        <v>351.03820499999995</v>
      </c>
      <c r="F142" s="69">
        <f t="shared" si="24"/>
        <v>368.59011524999994</v>
      </c>
      <c r="G142" s="70">
        <f t="shared" si="24"/>
        <v>387.01962101249995</v>
      </c>
      <c r="H142" s="71">
        <f t="shared" si="24"/>
        <v>406.37060206312498</v>
      </c>
      <c r="I142" s="10">
        <f t="shared" si="24"/>
        <v>426.68913216628124</v>
      </c>
      <c r="J142" s="69">
        <f t="shared" si="24"/>
        <v>448.02358877459528</v>
      </c>
      <c r="K142" s="10">
        <f t="shared" si="24"/>
        <v>470.42476821332502</v>
      </c>
      <c r="L142" s="69">
        <f t="shared" si="24"/>
        <v>493.94600662399125</v>
      </c>
      <c r="M142" s="70">
        <f t="shared" si="24"/>
        <v>518.64330695519084</v>
      </c>
      <c r="N142" s="71">
        <f t="shared" si="24"/>
        <v>544.5754723029504</v>
      </c>
      <c r="O142" s="10">
        <f t="shared" si="24"/>
        <v>571.80424591809788</v>
      </c>
      <c r="P142" s="69">
        <f t="shared" si="24"/>
        <v>600.39445821400273</v>
      </c>
      <c r="Q142" s="10">
        <f t="shared" si="24"/>
        <v>630.41418112470285</v>
      </c>
      <c r="R142" s="69">
        <f t="shared" si="24"/>
        <v>661.93489018093794</v>
      </c>
      <c r="S142" s="70">
        <f t="shared" si="23"/>
        <v>695.0316346899848</v>
      </c>
      <c r="T142" s="15">
        <f t="shared" si="23"/>
        <v>729.78321642448407</v>
      </c>
      <c r="U142" s="16">
        <f t="shared" si="23"/>
        <v>766.2723772457083</v>
      </c>
      <c r="V142" s="17">
        <f t="shared" si="23"/>
        <v>804.58599610799376</v>
      </c>
      <c r="W142" s="16">
        <f t="shared" si="23"/>
        <v>844.81529591339347</v>
      </c>
      <c r="X142" s="17">
        <f t="shared" si="23"/>
        <v>887.0560607090631</v>
      </c>
      <c r="Y142" s="16">
        <f t="shared" si="23"/>
        <v>931.40886374451622</v>
      </c>
      <c r="Z142" s="18">
        <f t="shared" si="23"/>
        <v>977.97930693174203</v>
      </c>
    </row>
    <row r="143" spans="1:26" x14ac:dyDescent="0.2">
      <c r="A143" s="23">
        <v>38991</v>
      </c>
      <c r="B143" s="71">
        <v>303.24</v>
      </c>
      <c r="C143" s="10">
        <f t="shared" si="24"/>
        <v>318.40199999999999</v>
      </c>
      <c r="D143" s="69">
        <f t="shared" si="24"/>
        <v>334.32209999999998</v>
      </c>
      <c r="E143" s="10">
        <f t="shared" si="24"/>
        <v>351.03820499999995</v>
      </c>
      <c r="F143" s="69">
        <f t="shared" si="24"/>
        <v>368.59011524999994</v>
      </c>
      <c r="G143" s="70">
        <f t="shared" si="24"/>
        <v>387.01962101249995</v>
      </c>
      <c r="H143" s="71">
        <f t="shared" si="24"/>
        <v>406.37060206312498</v>
      </c>
      <c r="I143" s="10">
        <f t="shared" si="24"/>
        <v>426.68913216628124</v>
      </c>
      <c r="J143" s="69">
        <f t="shared" si="24"/>
        <v>448.02358877459528</v>
      </c>
      <c r="K143" s="10">
        <f t="shared" si="24"/>
        <v>470.42476821332502</v>
      </c>
      <c r="L143" s="69">
        <f t="shared" si="24"/>
        <v>493.94600662399125</v>
      </c>
      <c r="M143" s="70">
        <f t="shared" si="24"/>
        <v>518.64330695519084</v>
      </c>
      <c r="N143" s="71">
        <f t="shared" si="24"/>
        <v>544.5754723029504</v>
      </c>
      <c r="O143" s="10">
        <f t="shared" si="24"/>
        <v>571.80424591809788</v>
      </c>
      <c r="P143" s="69">
        <f t="shared" si="24"/>
        <v>600.39445821400273</v>
      </c>
      <c r="Q143" s="10">
        <f t="shared" si="24"/>
        <v>630.41418112470285</v>
      </c>
      <c r="R143" s="69">
        <f t="shared" si="24"/>
        <v>661.93489018093794</v>
      </c>
      <c r="S143" s="70">
        <f t="shared" si="23"/>
        <v>695.0316346899848</v>
      </c>
      <c r="T143" s="15">
        <f t="shared" si="23"/>
        <v>729.78321642448407</v>
      </c>
      <c r="U143" s="16">
        <f t="shared" si="23"/>
        <v>766.2723772457083</v>
      </c>
      <c r="V143" s="17">
        <f t="shared" si="23"/>
        <v>804.58599610799376</v>
      </c>
      <c r="W143" s="16">
        <f t="shared" si="23"/>
        <v>844.81529591339347</v>
      </c>
      <c r="X143" s="17">
        <f t="shared" si="23"/>
        <v>887.0560607090631</v>
      </c>
      <c r="Y143" s="16">
        <f t="shared" si="23"/>
        <v>931.40886374451622</v>
      </c>
      <c r="Z143" s="18">
        <f t="shared" si="23"/>
        <v>977.97930693174203</v>
      </c>
    </row>
    <row r="144" spans="1:26" x14ac:dyDescent="0.2">
      <c r="A144" s="23">
        <v>39022</v>
      </c>
      <c r="B144" s="71">
        <v>303.24</v>
      </c>
      <c r="C144" s="10">
        <f t="shared" si="24"/>
        <v>318.40199999999999</v>
      </c>
      <c r="D144" s="69">
        <f t="shared" si="24"/>
        <v>334.32209999999998</v>
      </c>
      <c r="E144" s="10">
        <f t="shared" si="24"/>
        <v>351.03820499999995</v>
      </c>
      <c r="F144" s="69">
        <f t="shared" si="24"/>
        <v>368.59011524999994</v>
      </c>
      <c r="G144" s="70">
        <f t="shared" si="24"/>
        <v>387.01962101249995</v>
      </c>
      <c r="H144" s="71">
        <f t="shared" si="24"/>
        <v>406.37060206312498</v>
      </c>
      <c r="I144" s="10">
        <f t="shared" si="24"/>
        <v>426.68913216628124</v>
      </c>
      <c r="J144" s="69">
        <f t="shared" si="24"/>
        <v>448.02358877459528</v>
      </c>
      <c r="K144" s="10">
        <f t="shared" si="24"/>
        <v>470.42476821332502</v>
      </c>
      <c r="L144" s="69">
        <f t="shared" si="24"/>
        <v>493.94600662399125</v>
      </c>
      <c r="M144" s="70">
        <f t="shared" si="24"/>
        <v>518.64330695519084</v>
      </c>
      <c r="N144" s="71">
        <f t="shared" si="24"/>
        <v>544.5754723029504</v>
      </c>
      <c r="O144" s="10">
        <f t="shared" si="24"/>
        <v>571.80424591809788</v>
      </c>
      <c r="P144" s="69">
        <f t="shared" si="24"/>
        <v>600.39445821400273</v>
      </c>
      <c r="Q144" s="10">
        <f t="shared" si="24"/>
        <v>630.41418112470285</v>
      </c>
      <c r="R144" s="69">
        <f t="shared" si="24"/>
        <v>661.93489018093794</v>
      </c>
      <c r="S144" s="70">
        <f t="shared" si="23"/>
        <v>695.0316346899848</v>
      </c>
      <c r="T144" s="15">
        <f t="shared" si="23"/>
        <v>729.78321642448407</v>
      </c>
      <c r="U144" s="16">
        <f t="shared" si="23"/>
        <v>766.2723772457083</v>
      </c>
      <c r="V144" s="17">
        <f t="shared" si="23"/>
        <v>804.58599610799376</v>
      </c>
      <c r="W144" s="16">
        <f t="shared" si="23"/>
        <v>844.81529591339347</v>
      </c>
      <c r="X144" s="17">
        <f t="shared" si="23"/>
        <v>887.0560607090631</v>
      </c>
      <c r="Y144" s="16">
        <f t="shared" si="23"/>
        <v>931.40886374451622</v>
      </c>
      <c r="Z144" s="18">
        <f t="shared" si="23"/>
        <v>977.97930693174203</v>
      </c>
    </row>
    <row r="145" spans="1:26" x14ac:dyDescent="0.2">
      <c r="A145" s="23">
        <v>39052</v>
      </c>
      <c r="B145" s="71">
        <v>303.24</v>
      </c>
      <c r="C145" s="10">
        <f t="shared" si="24"/>
        <v>318.40199999999999</v>
      </c>
      <c r="D145" s="69">
        <f t="shared" si="24"/>
        <v>334.32209999999998</v>
      </c>
      <c r="E145" s="10">
        <f t="shared" si="24"/>
        <v>351.03820499999995</v>
      </c>
      <c r="F145" s="69">
        <f t="shared" si="24"/>
        <v>368.59011524999994</v>
      </c>
      <c r="G145" s="70">
        <f t="shared" si="24"/>
        <v>387.01962101249995</v>
      </c>
      <c r="H145" s="71">
        <f t="shared" si="24"/>
        <v>406.37060206312498</v>
      </c>
      <c r="I145" s="10">
        <f t="shared" si="24"/>
        <v>426.68913216628124</v>
      </c>
      <c r="J145" s="69">
        <f t="shared" si="24"/>
        <v>448.02358877459528</v>
      </c>
      <c r="K145" s="10">
        <f t="shared" si="24"/>
        <v>470.42476821332502</v>
      </c>
      <c r="L145" s="69">
        <f t="shared" si="24"/>
        <v>493.94600662399125</v>
      </c>
      <c r="M145" s="70">
        <f t="shared" si="24"/>
        <v>518.64330695519084</v>
      </c>
      <c r="N145" s="71">
        <f t="shared" si="24"/>
        <v>544.5754723029504</v>
      </c>
      <c r="O145" s="10">
        <f t="shared" si="24"/>
        <v>571.80424591809788</v>
      </c>
      <c r="P145" s="69">
        <f t="shared" si="24"/>
        <v>600.39445821400273</v>
      </c>
      <c r="Q145" s="10">
        <f t="shared" si="24"/>
        <v>630.41418112470285</v>
      </c>
      <c r="R145" s="69">
        <f t="shared" si="24"/>
        <v>661.93489018093794</v>
      </c>
      <c r="S145" s="70">
        <f t="shared" si="23"/>
        <v>695.0316346899848</v>
      </c>
      <c r="T145" s="15">
        <f t="shared" si="23"/>
        <v>729.78321642448407</v>
      </c>
      <c r="U145" s="16">
        <f t="shared" si="23"/>
        <v>766.2723772457083</v>
      </c>
      <c r="V145" s="17">
        <f t="shared" si="23"/>
        <v>804.58599610799376</v>
      </c>
      <c r="W145" s="16">
        <f t="shared" si="23"/>
        <v>844.81529591339347</v>
      </c>
      <c r="X145" s="17">
        <f t="shared" si="23"/>
        <v>887.0560607090631</v>
      </c>
      <c r="Y145" s="16">
        <f t="shared" si="23"/>
        <v>931.40886374451622</v>
      </c>
      <c r="Z145" s="18">
        <f t="shared" si="23"/>
        <v>977.97930693174203</v>
      </c>
    </row>
    <row r="146" spans="1:26" x14ac:dyDescent="0.2">
      <c r="A146" s="23">
        <v>39083</v>
      </c>
      <c r="B146" s="71">
        <v>303.24</v>
      </c>
      <c r="C146" s="10">
        <f t="shared" si="24"/>
        <v>318.40199999999999</v>
      </c>
      <c r="D146" s="69">
        <f t="shared" si="24"/>
        <v>334.32209999999998</v>
      </c>
      <c r="E146" s="10">
        <f t="shared" si="24"/>
        <v>351.03820499999995</v>
      </c>
      <c r="F146" s="69">
        <f t="shared" si="24"/>
        <v>368.59011524999994</v>
      </c>
      <c r="G146" s="70">
        <f t="shared" si="24"/>
        <v>387.01962101249995</v>
      </c>
      <c r="H146" s="71">
        <f t="shared" si="24"/>
        <v>406.37060206312498</v>
      </c>
      <c r="I146" s="10">
        <f t="shared" si="24"/>
        <v>426.68913216628124</v>
      </c>
      <c r="J146" s="69">
        <f t="shared" si="24"/>
        <v>448.02358877459528</v>
      </c>
      <c r="K146" s="10">
        <f t="shared" si="24"/>
        <v>470.42476821332502</v>
      </c>
      <c r="L146" s="69">
        <f t="shared" si="24"/>
        <v>493.94600662399125</v>
      </c>
      <c r="M146" s="70">
        <f t="shared" si="24"/>
        <v>518.64330695519084</v>
      </c>
      <c r="N146" s="71">
        <f t="shared" si="24"/>
        <v>544.5754723029504</v>
      </c>
      <c r="O146" s="10">
        <f t="shared" si="24"/>
        <v>571.80424591809788</v>
      </c>
      <c r="P146" s="69">
        <f t="shared" si="24"/>
        <v>600.39445821400273</v>
      </c>
      <c r="Q146" s="10">
        <f t="shared" si="24"/>
        <v>630.41418112470285</v>
      </c>
      <c r="R146" s="69">
        <f t="shared" si="24"/>
        <v>661.93489018093794</v>
      </c>
      <c r="S146" s="70">
        <f t="shared" si="23"/>
        <v>695.0316346899848</v>
      </c>
      <c r="T146" s="15">
        <f t="shared" si="23"/>
        <v>729.78321642448407</v>
      </c>
      <c r="U146" s="16">
        <f t="shared" si="23"/>
        <v>766.2723772457083</v>
      </c>
      <c r="V146" s="17">
        <f t="shared" si="23"/>
        <v>804.58599610799376</v>
      </c>
      <c r="W146" s="16">
        <f t="shared" si="23"/>
        <v>844.81529591339347</v>
      </c>
      <c r="X146" s="17">
        <f t="shared" si="23"/>
        <v>887.0560607090631</v>
      </c>
      <c r="Y146" s="16">
        <f t="shared" si="23"/>
        <v>931.40886374451622</v>
      </c>
      <c r="Z146" s="18">
        <f t="shared" si="23"/>
        <v>977.97930693174203</v>
      </c>
    </row>
    <row r="147" spans="1:26" x14ac:dyDescent="0.2">
      <c r="A147" s="23">
        <v>39114</v>
      </c>
      <c r="B147" s="71">
        <v>303.24</v>
      </c>
      <c r="C147" s="10">
        <f t="shared" si="24"/>
        <v>318.40199999999999</v>
      </c>
      <c r="D147" s="69">
        <f t="shared" si="24"/>
        <v>334.32209999999998</v>
      </c>
      <c r="E147" s="10">
        <f t="shared" si="24"/>
        <v>351.03820499999995</v>
      </c>
      <c r="F147" s="69">
        <f t="shared" si="24"/>
        <v>368.59011524999994</v>
      </c>
      <c r="G147" s="70">
        <f t="shared" si="24"/>
        <v>387.01962101249995</v>
      </c>
      <c r="H147" s="71">
        <f t="shared" si="24"/>
        <v>406.37060206312498</v>
      </c>
      <c r="I147" s="10">
        <f t="shared" si="24"/>
        <v>426.68913216628124</v>
      </c>
      <c r="J147" s="69">
        <f t="shared" si="24"/>
        <v>448.02358877459528</v>
      </c>
      <c r="K147" s="10">
        <f t="shared" si="24"/>
        <v>470.42476821332502</v>
      </c>
      <c r="L147" s="69">
        <f t="shared" si="24"/>
        <v>493.94600662399125</v>
      </c>
      <c r="M147" s="70">
        <f t="shared" si="24"/>
        <v>518.64330695519084</v>
      </c>
      <c r="N147" s="71">
        <f t="shared" si="24"/>
        <v>544.5754723029504</v>
      </c>
      <c r="O147" s="10">
        <f t="shared" si="24"/>
        <v>571.80424591809788</v>
      </c>
      <c r="P147" s="69">
        <f t="shared" si="24"/>
        <v>600.39445821400273</v>
      </c>
      <c r="Q147" s="10">
        <f t="shared" si="24"/>
        <v>630.41418112470285</v>
      </c>
      <c r="R147" s="69">
        <f t="shared" si="24"/>
        <v>661.93489018093794</v>
      </c>
      <c r="S147" s="70">
        <f t="shared" si="23"/>
        <v>695.0316346899848</v>
      </c>
      <c r="T147" s="15">
        <f t="shared" si="23"/>
        <v>729.78321642448407</v>
      </c>
      <c r="U147" s="16">
        <f t="shared" si="23"/>
        <v>766.2723772457083</v>
      </c>
      <c r="V147" s="17">
        <f t="shared" si="23"/>
        <v>804.58599610799376</v>
      </c>
      <c r="W147" s="16">
        <f t="shared" si="23"/>
        <v>844.81529591339347</v>
      </c>
      <c r="X147" s="17">
        <f t="shared" si="23"/>
        <v>887.0560607090631</v>
      </c>
      <c r="Y147" s="16">
        <f t="shared" si="23"/>
        <v>931.40886374451622</v>
      </c>
      <c r="Z147" s="18">
        <f t="shared" si="23"/>
        <v>977.97930693174203</v>
      </c>
    </row>
    <row r="148" spans="1:26" x14ac:dyDescent="0.2">
      <c r="A148" s="23">
        <v>39142</v>
      </c>
      <c r="B148" s="71">
        <v>303.24</v>
      </c>
      <c r="C148" s="10">
        <f t="shared" si="24"/>
        <v>318.40199999999999</v>
      </c>
      <c r="D148" s="69">
        <f t="shared" si="24"/>
        <v>334.32209999999998</v>
      </c>
      <c r="E148" s="10">
        <f t="shared" si="24"/>
        <v>351.03820499999995</v>
      </c>
      <c r="F148" s="69">
        <f t="shared" si="24"/>
        <v>368.59011524999994</v>
      </c>
      <c r="G148" s="70">
        <f t="shared" si="24"/>
        <v>387.01962101249995</v>
      </c>
      <c r="H148" s="71">
        <f t="shared" si="24"/>
        <v>406.37060206312498</v>
      </c>
      <c r="I148" s="10">
        <f t="shared" si="24"/>
        <v>426.68913216628124</v>
      </c>
      <c r="J148" s="69">
        <f t="shared" si="24"/>
        <v>448.02358877459528</v>
      </c>
      <c r="K148" s="10">
        <f t="shared" si="24"/>
        <v>470.42476821332502</v>
      </c>
      <c r="L148" s="69">
        <f t="shared" si="24"/>
        <v>493.94600662399125</v>
      </c>
      <c r="M148" s="70">
        <f t="shared" si="24"/>
        <v>518.64330695519084</v>
      </c>
      <c r="N148" s="71">
        <f t="shared" si="24"/>
        <v>544.5754723029504</v>
      </c>
      <c r="O148" s="10">
        <f t="shared" si="24"/>
        <v>571.80424591809788</v>
      </c>
      <c r="P148" s="69">
        <f t="shared" si="24"/>
        <v>600.39445821400273</v>
      </c>
      <c r="Q148" s="10">
        <f t="shared" si="24"/>
        <v>630.41418112470285</v>
      </c>
      <c r="R148" s="69">
        <f t="shared" si="24"/>
        <v>661.93489018093794</v>
      </c>
      <c r="S148" s="70">
        <f t="shared" ref="R148:Z163" si="25">(R148*0.05)+R148</f>
        <v>695.0316346899848</v>
      </c>
      <c r="T148" s="15">
        <f t="shared" si="25"/>
        <v>729.78321642448407</v>
      </c>
      <c r="U148" s="16">
        <f t="shared" si="25"/>
        <v>766.2723772457083</v>
      </c>
      <c r="V148" s="17">
        <f t="shared" si="25"/>
        <v>804.58599610799376</v>
      </c>
      <c r="W148" s="16">
        <f t="shared" si="25"/>
        <v>844.81529591339347</v>
      </c>
      <c r="X148" s="17">
        <f t="shared" si="25"/>
        <v>887.0560607090631</v>
      </c>
      <c r="Y148" s="16">
        <f t="shared" si="25"/>
        <v>931.40886374451622</v>
      </c>
      <c r="Z148" s="18">
        <f t="shared" si="25"/>
        <v>977.97930693174203</v>
      </c>
    </row>
    <row r="149" spans="1:26" x14ac:dyDescent="0.2">
      <c r="A149" s="23">
        <v>39173</v>
      </c>
      <c r="B149" s="71">
        <v>303.24</v>
      </c>
      <c r="C149" s="10">
        <f t="shared" ref="C149:R164" si="26">(B149*0.05)+B149</f>
        <v>318.40199999999999</v>
      </c>
      <c r="D149" s="69">
        <f t="shared" si="26"/>
        <v>334.32209999999998</v>
      </c>
      <c r="E149" s="10">
        <f t="shared" si="26"/>
        <v>351.03820499999995</v>
      </c>
      <c r="F149" s="69">
        <f t="shared" si="26"/>
        <v>368.59011524999994</v>
      </c>
      <c r="G149" s="70">
        <f t="shared" si="26"/>
        <v>387.01962101249995</v>
      </c>
      <c r="H149" s="71">
        <f t="shared" si="26"/>
        <v>406.37060206312498</v>
      </c>
      <c r="I149" s="10">
        <f t="shared" si="26"/>
        <v>426.68913216628124</v>
      </c>
      <c r="J149" s="69">
        <f t="shared" si="26"/>
        <v>448.02358877459528</v>
      </c>
      <c r="K149" s="10">
        <f t="shared" si="26"/>
        <v>470.42476821332502</v>
      </c>
      <c r="L149" s="69">
        <f t="shared" si="26"/>
        <v>493.94600662399125</v>
      </c>
      <c r="M149" s="70">
        <f t="shared" si="26"/>
        <v>518.64330695519084</v>
      </c>
      <c r="N149" s="71">
        <f t="shared" si="26"/>
        <v>544.5754723029504</v>
      </c>
      <c r="O149" s="10">
        <f t="shared" si="26"/>
        <v>571.80424591809788</v>
      </c>
      <c r="P149" s="69">
        <f t="shared" si="26"/>
        <v>600.39445821400273</v>
      </c>
      <c r="Q149" s="10">
        <f t="shared" si="26"/>
        <v>630.41418112470285</v>
      </c>
      <c r="R149" s="69">
        <f t="shared" si="26"/>
        <v>661.93489018093794</v>
      </c>
      <c r="S149" s="70">
        <f t="shared" si="25"/>
        <v>695.0316346899848</v>
      </c>
      <c r="T149" s="15">
        <f t="shared" si="25"/>
        <v>729.78321642448407</v>
      </c>
      <c r="U149" s="16">
        <f t="shared" si="25"/>
        <v>766.2723772457083</v>
      </c>
      <c r="V149" s="17">
        <f t="shared" si="25"/>
        <v>804.58599610799376</v>
      </c>
      <c r="W149" s="16">
        <f t="shared" si="25"/>
        <v>844.81529591339347</v>
      </c>
      <c r="X149" s="17">
        <f t="shared" si="25"/>
        <v>887.0560607090631</v>
      </c>
      <c r="Y149" s="16">
        <f t="shared" si="25"/>
        <v>931.40886374451622</v>
      </c>
      <c r="Z149" s="18">
        <f t="shared" si="25"/>
        <v>977.97930693174203</v>
      </c>
    </row>
    <row r="150" spans="1:26" x14ac:dyDescent="0.2">
      <c r="A150" s="23">
        <v>39203</v>
      </c>
      <c r="B150" s="71">
        <v>303.24</v>
      </c>
      <c r="C150" s="10">
        <f t="shared" si="26"/>
        <v>318.40199999999999</v>
      </c>
      <c r="D150" s="69">
        <f t="shared" si="26"/>
        <v>334.32209999999998</v>
      </c>
      <c r="E150" s="10">
        <f t="shared" si="26"/>
        <v>351.03820499999995</v>
      </c>
      <c r="F150" s="69">
        <f t="shared" si="26"/>
        <v>368.59011524999994</v>
      </c>
      <c r="G150" s="70">
        <f t="shared" si="26"/>
        <v>387.01962101249995</v>
      </c>
      <c r="H150" s="71">
        <f t="shared" si="26"/>
        <v>406.37060206312498</v>
      </c>
      <c r="I150" s="10">
        <f t="shared" si="26"/>
        <v>426.68913216628124</v>
      </c>
      <c r="J150" s="69">
        <f t="shared" si="26"/>
        <v>448.02358877459528</v>
      </c>
      <c r="K150" s="10">
        <f t="shared" si="26"/>
        <v>470.42476821332502</v>
      </c>
      <c r="L150" s="69">
        <f t="shared" si="26"/>
        <v>493.94600662399125</v>
      </c>
      <c r="M150" s="70">
        <f t="shared" si="26"/>
        <v>518.64330695519084</v>
      </c>
      <c r="N150" s="71">
        <f t="shared" si="26"/>
        <v>544.5754723029504</v>
      </c>
      <c r="O150" s="10">
        <f t="shared" si="26"/>
        <v>571.80424591809788</v>
      </c>
      <c r="P150" s="69">
        <f t="shared" si="26"/>
        <v>600.39445821400273</v>
      </c>
      <c r="Q150" s="10">
        <f t="shared" si="26"/>
        <v>630.41418112470285</v>
      </c>
      <c r="R150" s="69">
        <f t="shared" si="26"/>
        <v>661.93489018093794</v>
      </c>
      <c r="S150" s="70">
        <f t="shared" si="25"/>
        <v>695.0316346899848</v>
      </c>
      <c r="T150" s="15">
        <f t="shared" si="25"/>
        <v>729.78321642448407</v>
      </c>
      <c r="U150" s="16">
        <f t="shared" si="25"/>
        <v>766.2723772457083</v>
      </c>
      <c r="V150" s="17">
        <f t="shared" si="25"/>
        <v>804.58599610799376</v>
      </c>
      <c r="W150" s="16">
        <f t="shared" si="25"/>
        <v>844.81529591339347</v>
      </c>
      <c r="X150" s="17">
        <f t="shared" si="25"/>
        <v>887.0560607090631</v>
      </c>
      <c r="Y150" s="16">
        <f t="shared" si="25"/>
        <v>931.40886374451622</v>
      </c>
      <c r="Z150" s="18">
        <f t="shared" si="25"/>
        <v>977.97930693174203</v>
      </c>
    </row>
    <row r="151" spans="1:26" x14ac:dyDescent="0.2">
      <c r="A151" s="23">
        <v>39234</v>
      </c>
      <c r="B151" s="71">
        <v>303.24</v>
      </c>
      <c r="C151" s="10">
        <f t="shared" si="26"/>
        <v>318.40199999999999</v>
      </c>
      <c r="D151" s="69">
        <f t="shared" si="26"/>
        <v>334.32209999999998</v>
      </c>
      <c r="E151" s="10">
        <f t="shared" si="26"/>
        <v>351.03820499999995</v>
      </c>
      <c r="F151" s="69">
        <f t="shared" si="26"/>
        <v>368.59011524999994</v>
      </c>
      <c r="G151" s="70">
        <f t="shared" si="26"/>
        <v>387.01962101249995</v>
      </c>
      <c r="H151" s="71">
        <f t="shared" si="26"/>
        <v>406.37060206312498</v>
      </c>
      <c r="I151" s="10">
        <f t="shared" si="26"/>
        <v>426.68913216628124</v>
      </c>
      <c r="J151" s="69">
        <f t="shared" si="26"/>
        <v>448.02358877459528</v>
      </c>
      <c r="K151" s="10">
        <f t="shared" si="26"/>
        <v>470.42476821332502</v>
      </c>
      <c r="L151" s="69">
        <f t="shared" si="26"/>
        <v>493.94600662399125</v>
      </c>
      <c r="M151" s="70">
        <f t="shared" si="26"/>
        <v>518.64330695519084</v>
      </c>
      <c r="N151" s="71">
        <f t="shared" si="26"/>
        <v>544.5754723029504</v>
      </c>
      <c r="O151" s="10">
        <f t="shared" si="26"/>
        <v>571.80424591809788</v>
      </c>
      <c r="P151" s="69">
        <f t="shared" si="26"/>
        <v>600.39445821400273</v>
      </c>
      <c r="Q151" s="10">
        <f t="shared" si="26"/>
        <v>630.41418112470285</v>
      </c>
      <c r="R151" s="69">
        <f t="shared" si="26"/>
        <v>661.93489018093794</v>
      </c>
      <c r="S151" s="70">
        <f t="shared" si="25"/>
        <v>695.0316346899848</v>
      </c>
      <c r="T151" s="15">
        <f t="shared" si="25"/>
        <v>729.78321642448407</v>
      </c>
      <c r="U151" s="16">
        <f t="shared" si="25"/>
        <v>766.2723772457083</v>
      </c>
      <c r="V151" s="17">
        <f t="shared" si="25"/>
        <v>804.58599610799376</v>
      </c>
      <c r="W151" s="16">
        <f t="shared" si="25"/>
        <v>844.81529591339347</v>
      </c>
      <c r="X151" s="17">
        <f t="shared" si="25"/>
        <v>887.0560607090631</v>
      </c>
      <c r="Y151" s="16">
        <f t="shared" si="25"/>
        <v>931.40886374451622</v>
      </c>
      <c r="Z151" s="18">
        <f t="shared" si="25"/>
        <v>977.97930693174203</v>
      </c>
    </row>
    <row r="152" spans="1:26" x14ac:dyDescent="0.2">
      <c r="A152" s="23">
        <v>39264</v>
      </c>
      <c r="B152" s="71">
        <v>303.24</v>
      </c>
      <c r="C152" s="10">
        <f t="shared" si="26"/>
        <v>318.40199999999999</v>
      </c>
      <c r="D152" s="69">
        <f t="shared" si="26"/>
        <v>334.32209999999998</v>
      </c>
      <c r="E152" s="10">
        <f t="shared" si="26"/>
        <v>351.03820499999995</v>
      </c>
      <c r="F152" s="69">
        <f t="shared" si="26"/>
        <v>368.59011524999994</v>
      </c>
      <c r="G152" s="70">
        <f t="shared" si="26"/>
        <v>387.01962101249995</v>
      </c>
      <c r="H152" s="71">
        <f t="shared" si="26"/>
        <v>406.37060206312498</v>
      </c>
      <c r="I152" s="10">
        <f t="shared" si="26"/>
        <v>426.68913216628124</v>
      </c>
      <c r="J152" s="69">
        <f t="shared" si="26"/>
        <v>448.02358877459528</v>
      </c>
      <c r="K152" s="10">
        <f t="shared" si="26"/>
        <v>470.42476821332502</v>
      </c>
      <c r="L152" s="69">
        <f t="shared" si="26"/>
        <v>493.94600662399125</v>
      </c>
      <c r="M152" s="70">
        <f t="shared" si="26"/>
        <v>518.64330695519084</v>
      </c>
      <c r="N152" s="71">
        <f t="shared" si="26"/>
        <v>544.5754723029504</v>
      </c>
      <c r="O152" s="10">
        <f t="shared" si="26"/>
        <v>571.80424591809788</v>
      </c>
      <c r="P152" s="69">
        <f t="shared" si="26"/>
        <v>600.39445821400273</v>
      </c>
      <c r="Q152" s="10">
        <f t="shared" si="26"/>
        <v>630.41418112470285</v>
      </c>
      <c r="R152" s="69">
        <f t="shared" si="26"/>
        <v>661.93489018093794</v>
      </c>
      <c r="S152" s="70">
        <f t="shared" si="25"/>
        <v>695.0316346899848</v>
      </c>
      <c r="T152" s="15">
        <f t="shared" si="25"/>
        <v>729.78321642448407</v>
      </c>
      <c r="U152" s="16">
        <f t="shared" si="25"/>
        <v>766.2723772457083</v>
      </c>
      <c r="V152" s="17">
        <f t="shared" si="25"/>
        <v>804.58599610799376</v>
      </c>
      <c r="W152" s="16">
        <f t="shared" si="25"/>
        <v>844.81529591339347</v>
      </c>
      <c r="X152" s="17">
        <f t="shared" si="25"/>
        <v>887.0560607090631</v>
      </c>
      <c r="Y152" s="16">
        <f t="shared" si="25"/>
        <v>931.40886374451622</v>
      </c>
      <c r="Z152" s="18">
        <f t="shared" si="25"/>
        <v>977.97930693174203</v>
      </c>
    </row>
    <row r="153" spans="1:26" x14ac:dyDescent="0.2">
      <c r="A153" s="23">
        <v>39295</v>
      </c>
      <c r="B153" s="71">
        <v>303.24</v>
      </c>
      <c r="C153" s="10">
        <f t="shared" si="26"/>
        <v>318.40199999999999</v>
      </c>
      <c r="D153" s="69">
        <f t="shared" si="26"/>
        <v>334.32209999999998</v>
      </c>
      <c r="E153" s="10">
        <f t="shared" si="26"/>
        <v>351.03820499999995</v>
      </c>
      <c r="F153" s="69">
        <f t="shared" si="26"/>
        <v>368.59011524999994</v>
      </c>
      <c r="G153" s="70">
        <f t="shared" si="26"/>
        <v>387.01962101249995</v>
      </c>
      <c r="H153" s="71">
        <f t="shared" si="26"/>
        <v>406.37060206312498</v>
      </c>
      <c r="I153" s="10">
        <f t="shared" si="26"/>
        <v>426.68913216628124</v>
      </c>
      <c r="J153" s="69">
        <f t="shared" si="26"/>
        <v>448.02358877459528</v>
      </c>
      <c r="K153" s="10">
        <f t="shared" si="26"/>
        <v>470.42476821332502</v>
      </c>
      <c r="L153" s="69">
        <f t="shared" si="26"/>
        <v>493.94600662399125</v>
      </c>
      <c r="M153" s="70">
        <f t="shared" si="26"/>
        <v>518.64330695519084</v>
      </c>
      <c r="N153" s="71">
        <f t="shared" si="26"/>
        <v>544.5754723029504</v>
      </c>
      <c r="O153" s="10">
        <f t="shared" si="26"/>
        <v>571.80424591809788</v>
      </c>
      <c r="P153" s="69">
        <f t="shared" si="26"/>
        <v>600.39445821400273</v>
      </c>
      <c r="Q153" s="10">
        <f t="shared" si="26"/>
        <v>630.41418112470285</v>
      </c>
      <c r="R153" s="69">
        <f t="shared" si="26"/>
        <v>661.93489018093794</v>
      </c>
      <c r="S153" s="70">
        <f t="shared" si="25"/>
        <v>695.0316346899848</v>
      </c>
      <c r="T153" s="15">
        <f t="shared" si="25"/>
        <v>729.78321642448407</v>
      </c>
      <c r="U153" s="16">
        <f t="shared" si="25"/>
        <v>766.2723772457083</v>
      </c>
      <c r="V153" s="17">
        <f t="shared" si="25"/>
        <v>804.58599610799376</v>
      </c>
      <c r="W153" s="16">
        <f t="shared" si="25"/>
        <v>844.81529591339347</v>
      </c>
      <c r="X153" s="17">
        <f t="shared" si="25"/>
        <v>887.0560607090631</v>
      </c>
      <c r="Y153" s="16">
        <f t="shared" si="25"/>
        <v>931.40886374451622</v>
      </c>
      <c r="Z153" s="18">
        <f t="shared" si="25"/>
        <v>977.97930693174203</v>
      </c>
    </row>
    <row r="154" spans="1:26" x14ac:dyDescent="0.2">
      <c r="A154" s="23">
        <v>39326</v>
      </c>
      <c r="B154" s="71">
        <v>303.24</v>
      </c>
      <c r="C154" s="10">
        <f t="shared" si="26"/>
        <v>318.40199999999999</v>
      </c>
      <c r="D154" s="69">
        <f t="shared" si="26"/>
        <v>334.32209999999998</v>
      </c>
      <c r="E154" s="10">
        <f t="shared" si="26"/>
        <v>351.03820499999995</v>
      </c>
      <c r="F154" s="69">
        <f t="shared" si="26"/>
        <v>368.59011524999994</v>
      </c>
      <c r="G154" s="70">
        <f t="shared" si="26"/>
        <v>387.01962101249995</v>
      </c>
      <c r="H154" s="71">
        <f t="shared" si="26"/>
        <v>406.37060206312498</v>
      </c>
      <c r="I154" s="10">
        <f t="shared" si="26"/>
        <v>426.68913216628124</v>
      </c>
      <c r="J154" s="69">
        <f t="shared" si="26"/>
        <v>448.02358877459528</v>
      </c>
      <c r="K154" s="10">
        <f t="shared" si="26"/>
        <v>470.42476821332502</v>
      </c>
      <c r="L154" s="69">
        <f t="shared" si="26"/>
        <v>493.94600662399125</v>
      </c>
      <c r="M154" s="70">
        <f t="shared" si="26"/>
        <v>518.64330695519084</v>
      </c>
      <c r="N154" s="71">
        <f t="shared" si="26"/>
        <v>544.5754723029504</v>
      </c>
      <c r="O154" s="10">
        <f t="shared" si="26"/>
        <v>571.80424591809788</v>
      </c>
      <c r="P154" s="69">
        <f t="shared" si="26"/>
        <v>600.39445821400273</v>
      </c>
      <c r="Q154" s="10">
        <f t="shared" si="26"/>
        <v>630.41418112470285</v>
      </c>
      <c r="R154" s="69">
        <f t="shared" si="26"/>
        <v>661.93489018093794</v>
      </c>
      <c r="S154" s="70">
        <f t="shared" si="25"/>
        <v>695.0316346899848</v>
      </c>
      <c r="T154" s="15">
        <f t="shared" si="25"/>
        <v>729.78321642448407</v>
      </c>
      <c r="U154" s="16">
        <f t="shared" si="25"/>
        <v>766.2723772457083</v>
      </c>
      <c r="V154" s="17">
        <f t="shared" si="25"/>
        <v>804.58599610799376</v>
      </c>
      <c r="W154" s="16">
        <f t="shared" si="25"/>
        <v>844.81529591339347</v>
      </c>
      <c r="X154" s="17">
        <f t="shared" si="25"/>
        <v>887.0560607090631</v>
      </c>
      <c r="Y154" s="16">
        <f t="shared" si="25"/>
        <v>931.40886374451622</v>
      </c>
      <c r="Z154" s="18">
        <f t="shared" si="25"/>
        <v>977.97930693174203</v>
      </c>
    </row>
    <row r="155" spans="1:26" x14ac:dyDescent="0.2">
      <c r="A155" s="23">
        <v>39356</v>
      </c>
      <c r="B155" s="71">
        <v>355</v>
      </c>
      <c r="C155" s="10">
        <f t="shared" si="26"/>
        <v>372.75</v>
      </c>
      <c r="D155" s="69">
        <f t="shared" si="26"/>
        <v>391.38749999999999</v>
      </c>
      <c r="E155" s="10">
        <f t="shared" si="26"/>
        <v>410.95687499999997</v>
      </c>
      <c r="F155" s="69">
        <f t="shared" si="26"/>
        <v>431.50471874999994</v>
      </c>
      <c r="G155" s="70">
        <f t="shared" si="26"/>
        <v>453.07995468749994</v>
      </c>
      <c r="H155" s="71">
        <f t="shared" si="26"/>
        <v>475.73395242187496</v>
      </c>
      <c r="I155" s="10">
        <f t="shared" si="26"/>
        <v>499.52065004296873</v>
      </c>
      <c r="J155" s="69">
        <f t="shared" si="26"/>
        <v>524.49668254511721</v>
      </c>
      <c r="K155" s="10">
        <f t="shared" si="26"/>
        <v>550.72151667237313</v>
      </c>
      <c r="L155" s="69">
        <f t="shared" si="26"/>
        <v>578.25759250599174</v>
      </c>
      <c r="M155" s="70">
        <f t="shared" si="26"/>
        <v>607.17047213129138</v>
      </c>
      <c r="N155" s="71">
        <f t="shared" si="26"/>
        <v>637.52899573785589</v>
      </c>
      <c r="O155" s="10">
        <f t="shared" si="26"/>
        <v>669.40544552474864</v>
      </c>
      <c r="P155" s="69">
        <f t="shared" si="26"/>
        <v>702.87571780098608</v>
      </c>
      <c r="Q155" s="10">
        <f t="shared" si="26"/>
        <v>738.01950369103542</v>
      </c>
      <c r="R155" s="69">
        <f t="shared" si="25"/>
        <v>774.92047887558715</v>
      </c>
      <c r="S155" s="70">
        <f t="shared" si="25"/>
        <v>813.66650281936654</v>
      </c>
      <c r="T155" s="15">
        <f t="shared" si="25"/>
        <v>854.34982796033489</v>
      </c>
      <c r="U155" s="16">
        <f t="shared" si="25"/>
        <v>897.0673193583516</v>
      </c>
      <c r="V155" s="17">
        <f t="shared" si="25"/>
        <v>941.92068532626922</v>
      </c>
      <c r="W155" s="16">
        <f t="shared" si="25"/>
        <v>989.01671959258272</v>
      </c>
      <c r="X155" s="17">
        <f t="shared" si="25"/>
        <v>1038.4675555722119</v>
      </c>
      <c r="Y155" s="16">
        <f t="shared" si="25"/>
        <v>1090.3909333508225</v>
      </c>
      <c r="Z155" s="18">
        <f t="shared" si="25"/>
        <v>1144.9104800183636</v>
      </c>
    </row>
    <row r="156" spans="1:26" x14ac:dyDescent="0.2">
      <c r="A156" s="23">
        <v>39387</v>
      </c>
      <c r="B156" s="71">
        <v>355</v>
      </c>
      <c r="C156" s="10">
        <f t="shared" si="26"/>
        <v>372.75</v>
      </c>
      <c r="D156" s="69">
        <f t="shared" si="26"/>
        <v>391.38749999999999</v>
      </c>
      <c r="E156" s="10">
        <f t="shared" si="26"/>
        <v>410.95687499999997</v>
      </c>
      <c r="F156" s="69">
        <f t="shared" si="26"/>
        <v>431.50471874999994</v>
      </c>
      <c r="G156" s="70">
        <f t="shared" si="26"/>
        <v>453.07995468749994</v>
      </c>
      <c r="H156" s="71">
        <f t="shared" si="26"/>
        <v>475.73395242187496</v>
      </c>
      <c r="I156" s="10">
        <f t="shared" si="26"/>
        <v>499.52065004296873</v>
      </c>
      <c r="J156" s="69">
        <f t="shared" si="26"/>
        <v>524.49668254511721</v>
      </c>
      <c r="K156" s="10">
        <f t="shared" si="26"/>
        <v>550.72151667237313</v>
      </c>
      <c r="L156" s="69">
        <f t="shared" si="26"/>
        <v>578.25759250599174</v>
      </c>
      <c r="M156" s="70">
        <f t="shared" si="26"/>
        <v>607.17047213129138</v>
      </c>
      <c r="N156" s="71">
        <f t="shared" si="26"/>
        <v>637.52899573785589</v>
      </c>
      <c r="O156" s="10">
        <f t="shared" si="26"/>
        <v>669.40544552474864</v>
      </c>
      <c r="P156" s="69">
        <f t="shared" si="26"/>
        <v>702.87571780098608</v>
      </c>
      <c r="Q156" s="10">
        <f t="shared" si="26"/>
        <v>738.01950369103542</v>
      </c>
      <c r="R156" s="69">
        <f t="shared" si="25"/>
        <v>774.92047887558715</v>
      </c>
      <c r="S156" s="70">
        <f t="shared" si="25"/>
        <v>813.66650281936654</v>
      </c>
      <c r="T156" s="15">
        <f t="shared" si="25"/>
        <v>854.34982796033489</v>
      </c>
      <c r="U156" s="16">
        <f t="shared" si="25"/>
        <v>897.0673193583516</v>
      </c>
      <c r="V156" s="17">
        <f t="shared" si="25"/>
        <v>941.92068532626922</v>
      </c>
      <c r="W156" s="16">
        <f t="shared" si="25"/>
        <v>989.01671959258272</v>
      </c>
      <c r="X156" s="17">
        <f t="shared" si="25"/>
        <v>1038.4675555722119</v>
      </c>
      <c r="Y156" s="16">
        <f t="shared" si="25"/>
        <v>1090.3909333508225</v>
      </c>
      <c r="Z156" s="18">
        <f t="shared" si="25"/>
        <v>1144.9104800183636</v>
      </c>
    </row>
    <row r="157" spans="1:26" x14ac:dyDescent="0.2">
      <c r="A157" s="23">
        <v>39417</v>
      </c>
      <c r="B157" s="71">
        <v>355</v>
      </c>
      <c r="C157" s="10">
        <f t="shared" si="26"/>
        <v>372.75</v>
      </c>
      <c r="D157" s="69">
        <f t="shared" si="26"/>
        <v>391.38749999999999</v>
      </c>
      <c r="E157" s="10">
        <f t="shared" si="26"/>
        <v>410.95687499999997</v>
      </c>
      <c r="F157" s="69">
        <f t="shared" si="26"/>
        <v>431.50471874999994</v>
      </c>
      <c r="G157" s="70">
        <f t="shared" si="26"/>
        <v>453.07995468749994</v>
      </c>
      <c r="H157" s="71">
        <f t="shared" si="26"/>
        <v>475.73395242187496</v>
      </c>
      <c r="I157" s="10">
        <f t="shared" si="26"/>
        <v>499.52065004296873</v>
      </c>
      <c r="J157" s="69">
        <f t="shared" si="26"/>
        <v>524.49668254511721</v>
      </c>
      <c r="K157" s="10">
        <f t="shared" si="26"/>
        <v>550.72151667237313</v>
      </c>
      <c r="L157" s="69">
        <f t="shared" si="26"/>
        <v>578.25759250599174</v>
      </c>
      <c r="M157" s="70">
        <f t="shared" si="26"/>
        <v>607.17047213129138</v>
      </c>
      <c r="N157" s="71">
        <f t="shared" si="26"/>
        <v>637.52899573785589</v>
      </c>
      <c r="O157" s="10">
        <f t="shared" si="26"/>
        <v>669.40544552474864</v>
      </c>
      <c r="P157" s="69">
        <f t="shared" si="26"/>
        <v>702.87571780098608</v>
      </c>
      <c r="Q157" s="10">
        <f t="shared" si="26"/>
        <v>738.01950369103542</v>
      </c>
      <c r="R157" s="69">
        <f t="shared" si="25"/>
        <v>774.92047887558715</v>
      </c>
      <c r="S157" s="70">
        <f t="shared" si="25"/>
        <v>813.66650281936654</v>
      </c>
      <c r="T157" s="15">
        <f t="shared" si="25"/>
        <v>854.34982796033489</v>
      </c>
      <c r="U157" s="16">
        <f t="shared" si="25"/>
        <v>897.0673193583516</v>
      </c>
      <c r="V157" s="17">
        <f t="shared" si="25"/>
        <v>941.92068532626922</v>
      </c>
      <c r="W157" s="16">
        <f t="shared" si="25"/>
        <v>989.01671959258272</v>
      </c>
      <c r="X157" s="17">
        <f t="shared" si="25"/>
        <v>1038.4675555722119</v>
      </c>
      <c r="Y157" s="16">
        <f t="shared" si="25"/>
        <v>1090.3909333508225</v>
      </c>
      <c r="Z157" s="18">
        <f t="shared" si="25"/>
        <v>1144.9104800183636</v>
      </c>
    </row>
    <row r="158" spans="1:26" x14ac:dyDescent="0.2">
      <c r="A158" s="23">
        <v>39448</v>
      </c>
      <c r="B158" s="71">
        <v>355</v>
      </c>
      <c r="C158" s="10">
        <f t="shared" si="26"/>
        <v>372.75</v>
      </c>
      <c r="D158" s="69">
        <f t="shared" si="26"/>
        <v>391.38749999999999</v>
      </c>
      <c r="E158" s="10">
        <f t="shared" si="26"/>
        <v>410.95687499999997</v>
      </c>
      <c r="F158" s="69">
        <f t="shared" si="26"/>
        <v>431.50471874999994</v>
      </c>
      <c r="G158" s="70">
        <f t="shared" si="26"/>
        <v>453.07995468749994</v>
      </c>
      <c r="H158" s="71">
        <f t="shared" si="26"/>
        <v>475.73395242187496</v>
      </c>
      <c r="I158" s="10">
        <f t="shared" si="26"/>
        <v>499.52065004296873</v>
      </c>
      <c r="J158" s="69">
        <f t="shared" si="26"/>
        <v>524.49668254511721</v>
      </c>
      <c r="K158" s="10">
        <f t="shared" si="26"/>
        <v>550.72151667237313</v>
      </c>
      <c r="L158" s="69">
        <f t="shared" si="26"/>
        <v>578.25759250599174</v>
      </c>
      <c r="M158" s="70">
        <f t="shared" si="26"/>
        <v>607.17047213129138</v>
      </c>
      <c r="N158" s="71">
        <f t="shared" si="26"/>
        <v>637.52899573785589</v>
      </c>
      <c r="O158" s="10">
        <f t="shared" si="26"/>
        <v>669.40544552474864</v>
      </c>
      <c r="P158" s="69">
        <f t="shared" si="26"/>
        <v>702.87571780098608</v>
      </c>
      <c r="Q158" s="10">
        <f t="shared" si="26"/>
        <v>738.01950369103542</v>
      </c>
      <c r="R158" s="69">
        <f t="shared" si="25"/>
        <v>774.92047887558715</v>
      </c>
      <c r="S158" s="70">
        <f t="shared" si="25"/>
        <v>813.66650281936654</v>
      </c>
      <c r="T158" s="15">
        <f t="shared" si="25"/>
        <v>854.34982796033489</v>
      </c>
      <c r="U158" s="16">
        <f t="shared" si="25"/>
        <v>897.0673193583516</v>
      </c>
      <c r="V158" s="17">
        <f t="shared" si="25"/>
        <v>941.92068532626922</v>
      </c>
      <c r="W158" s="16">
        <f t="shared" si="25"/>
        <v>989.01671959258272</v>
      </c>
      <c r="X158" s="17">
        <f t="shared" si="25"/>
        <v>1038.4675555722119</v>
      </c>
      <c r="Y158" s="16">
        <f t="shared" si="25"/>
        <v>1090.3909333508225</v>
      </c>
      <c r="Z158" s="18">
        <f t="shared" si="25"/>
        <v>1144.9104800183636</v>
      </c>
    </row>
    <row r="159" spans="1:26" x14ac:dyDescent="0.2">
      <c r="A159" s="23">
        <v>39479</v>
      </c>
      <c r="B159" s="71">
        <v>355</v>
      </c>
      <c r="C159" s="10">
        <f t="shared" si="26"/>
        <v>372.75</v>
      </c>
      <c r="D159" s="69">
        <f t="shared" si="26"/>
        <v>391.38749999999999</v>
      </c>
      <c r="E159" s="10">
        <f t="shared" si="26"/>
        <v>410.95687499999997</v>
      </c>
      <c r="F159" s="69">
        <f t="shared" si="26"/>
        <v>431.50471874999994</v>
      </c>
      <c r="G159" s="70">
        <f t="shared" si="26"/>
        <v>453.07995468749994</v>
      </c>
      <c r="H159" s="71">
        <f t="shared" si="26"/>
        <v>475.73395242187496</v>
      </c>
      <c r="I159" s="10">
        <f t="shared" si="26"/>
        <v>499.52065004296873</v>
      </c>
      <c r="J159" s="69">
        <f t="shared" si="26"/>
        <v>524.49668254511721</v>
      </c>
      <c r="K159" s="10">
        <f t="shared" si="26"/>
        <v>550.72151667237313</v>
      </c>
      <c r="L159" s="69">
        <f t="shared" si="26"/>
        <v>578.25759250599174</v>
      </c>
      <c r="M159" s="70">
        <f t="shared" si="26"/>
        <v>607.17047213129138</v>
      </c>
      <c r="N159" s="71">
        <f t="shared" si="26"/>
        <v>637.52899573785589</v>
      </c>
      <c r="O159" s="10">
        <f t="shared" si="26"/>
        <v>669.40544552474864</v>
      </c>
      <c r="P159" s="69">
        <f t="shared" si="26"/>
        <v>702.87571780098608</v>
      </c>
      <c r="Q159" s="10">
        <f t="shared" si="26"/>
        <v>738.01950369103542</v>
      </c>
      <c r="R159" s="69">
        <f t="shared" si="25"/>
        <v>774.92047887558715</v>
      </c>
      <c r="S159" s="70">
        <f t="shared" si="25"/>
        <v>813.66650281936654</v>
      </c>
      <c r="T159" s="15">
        <f t="shared" si="25"/>
        <v>854.34982796033489</v>
      </c>
      <c r="U159" s="16">
        <f t="shared" si="25"/>
        <v>897.0673193583516</v>
      </c>
      <c r="V159" s="17">
        <f t="shared" si="25"/>
        <v>941.92068532626922</v>
      </c>
      <c r="W159" s="16">
        <f t="shared" si="25"/>
        <v>989.01671959258272</v>
      </c>
      <c r="X159" s="17">
        <f t="shared" si="25"/>
        <v>1038.4675555722119</v>
      </c>
      <c r="Y159" s="16">
        <f t="shared" si="25"/>
        <v>1090.3909333508225</v>
      </c>
      <c r="Z159" s="18">
        <f t="shared" si="25"/>
        <v>1144.9104800183636</v>
      </c>
    </row>
    <row r="160" spans="1:26" x14ac:dyDescent="0.2">
      <c r="A160" s="23">
        <v>39508</v>
      </c>
      <c r="B160" s="71">
        <v>355</v>
      </c>
      <c r="C160" s="10">
        <f t="shared" si="26"/>
        <v>372.75</v>
      </c>
      <c r="D160" s="69">
        <f t="shared" si="26"/>
        <v>391.38749999999999</v>
      </c>
      <c r="E160" s="10">
        <f t="shared" si="26"/>
        <v>410.95687499999997</v>
      </c>
      <c r="F160" s="69">
        <f t="shared" si="26"/>
        <v>431.50471874999994</v>
      </c>
      <c r="G160" s="70">
        <f t="shared" si="26"/>
        <v>453.07995468749994</v>
      </c>
      <c r="H160" s="71">
        <f t="shared" si="26"/>
        <v>475.73395242187496</v>
      </c>
      <c r="I160" s="10">
        <f t="shared" si="26"/>
        <v>499.52065004296873</v>
      </c>
      <c r="J160" s="69">
        <f t="shared" si="26"/>
        <v>524.49668254511721</v>
      </c>
      <c r="K160" s="10">
        <f t="shared" si="26"/>
        <v>550.72151667237313</v>
      </c>
      <c r="L160" s="69">
        <f t="shared" si="26"/>
        <v>578.25759250599174</v>
      </c>
      <c r="M160" s="70">
        <f t="shared" si="26"/>
        <v>607.17047213129138</v>
      </c>
      <c r="N160" s="71">
        <f t="shared" si="26"/>
        <v>637.52899573785589</v>
      </c>
      <c r="O160" s="10">
        <f t="shared" si="26"/>
        <v>669.40544552474864</v>
      </c>
      <c r="P160" s="69">
        <f t="shared" si="26"/>
        <v>702.87571780098608</v>
      </c>
      <c r="Q160" s="10">
        <f t="shared" si="26"/>
        <v>738.01950369103542</v>
      </c>
      <c r="R160" s="69">
        <f t="shared" si="25"/>
        <v>774.92047887558715</v>
      </c>
      <c r="S160" s="70">
        <f t="shared" si="25"/>
        <v>813.66650281936654</v>
      </c>
      <c r="T160" s="15">
        <f t="shared" si="25"/>
        <v>854.34982796033489</v>
      </c>
      <c r="U160" s="16">
        <f t="shared" si="25"/>
        <v>897.0673193583516</v>
      </c>
      <c r="V160" s="17">
        <f t="shared" si="25"/>
        <v>941.92068532626922</v>
      </c>
      <c r="W160" s="16">
        <f t="shared" si="25"/>
        <v>989.01671959258272</v>
      </c>
      <c r="X160" s="17">
        <f t="shared" si="25"/>
        <v>1038.4675555722119</v>
      </c>
      <c r="Y160" s="16">
        <f t="shared" si="25"/>
        <v>1090.3909333508225</v>
      </c>
      <c r="Z160" s="18">
        <f t="shared" si="25"/>
        <v>1144.9104800183636</v>
      </c>
    </row>
    <row r="161" spans="1:26" x14ac:dyDescent="0.2">
      <c r="A161" s="23">
        <v>39539</v>
      </c>
      <c r="B161" s="71">
        <v>355</v>
      </c>
      <c r="C161" s="10">
        <f t="shared" si="26"/>
        <v>372.75</v>
      </c>
      <c r="D161" s="69">
        <f t="shared" si="26"/>
        <v>391.38749999999999</v>
      </c>
      <c r="E161" s="10">
        <f t="shared" si="26"/>
        <v>410.95687499999997</v>
      </c>
      <c r="F161" s="69">
        <f t="shared" si="26"/>
        <v>431.50471874999994</v>
      </c>
      <c r="G161" s="70">
        <f t="shared" si="26"/>
        <v>453.07995468749994</v>
      </c>
      <c r="H161" s="71">
        <f t="shared" si="26"/>
        <v>475.73395242187496</v>
      </c>
      <c r="I161" s="10">
        <f t="shared" si="26"/>
        <v>499.52065004296873</v>
      </c>
      <c r="J161" s="69">
        <f t="shared" si="26"/>
        <v>524.49668254511721</v>
      </c>
      <c r="K161" s="10">
        <f t="shared" si="26"/>
        <v>550.72151667237313</v>
      </c>
      <c r="L161" s="69">
        <f t="shared" si="26"/>
        <v>578.25759250599174</v>
      </c>
      <c r="M161" s="70">
        <f t="shared" si="26"/>
        <v>607.17047213129138</v>
      </c>
      <c r="N161" s="71">
        <f t="shared" si="26"/>
        <v>637.52899573785589</v>
      </c>
      <c r="O161" s="10">
        <f t="shared" si="26"/>
        <v>669.40544552474864</v>
      </c>
      <c r="P161" s="69">
        <f t="shared" si="26"/>
        <v>702.87571780098608</v>
      </c>
      <c r="Q161" s="10">
        <f t="shared" si="26"/>
        <v>738.01950369103542</v>
      </c>
      <c r="R161" s="69">
        <f t="shared" si="25"/>
        <v>774.92047887558715</v>
      </c>
      <c r="S161" s="70">
        <f t="shared" si="25"/>
        <v>813.66650281936654</v>
      </c>
      <c r="T161" s="15">
        <f t="shared" si="25"/>
        <v>854.34982796033489</v>
      </c>
      <c r="U161" s="16">
        <f t="shared" si="25"/>
        <v>897.0673193583516</v>
      </c>
      <c r="V161" s="17">
        <f t="shared" si="25"/>
        <v>941.92068532626922</v>
      </c>
      <c r="W161" s="16">
        <f t="shared" si="25"/>
        <v>989.01671959258272</v>
      </c>
      <c r="X161" s="17">
        <f t="shared" si="25"/>
        <v>1038.4675555722119</v>
      </c>
      <c r="Y161" s="16">
        <f t="shared" si="25"/>
        <v>1090.3909333508225</v>
      </c>
      <c r="Z161" s="18">
        <f t="shared" si="25"/>
        <v>1144.9104800183636</v>
      </c>
    </row>
    <row r="162" spans="1:26" x14ac:dyDescent="0.2">
      <c r="A162" s="23">
        <v>39569</v>
      </c>
      <c r="B162" s="71">
        <v>366.44</v>
      </c>
      <c r="C162" s="10">
        <f t="shared" si="26"/>
        <v>384.762</v>
      </c>
      <c r="D162" s="69">
        <f t="shared" si="26"/>
        <v>404.00009999999997</v>
      </c>
      <c r="E162" s="10">
        <f t="shared" si="26"/>
        <v>424.20010499999995</v>
      </c>
      <c r="F162" s="69">
        <f t="shared" si="26"/>
        <v>445.41011024999995</v>
      </c>
      <c r="G162" s="70">
        <f t="shared" si="26"/>
        <v>467.68061576249994</v>
      </c>
      <c r="H162" s="71">
        <f t="shared" si="26"/>
        <v>491.06464655062496</v>
      </c>
      <c r="I162" s="10">
        <f t="shared" si="26"/>
        <v>515.61787887815626</v>
      </c>
      <c r="J162" s="69">
        <f t="shared" si="26"/>
        <v>541.39877282206407</v>
      </c>
      <c r="K162" s="10">
        <f t="shared" si="26"/>
        <v>568.46871146316732</v>
      </c>
      <c r="L162" s="69">
        <f t="shared" si="26"/>
        <v>596.8921470363257</v>
      </c>
      <c r="M162" s="70">
        <f t="shared" si="26"/>
        <v>626.736754388142</v>
      </c>
      <c r="N162" s="71">
        <f t="shared" si="26"/>
        <v>658.07359210754908</v>
      </c>
      <c r="O162" s="10">
        <f t="shared" si="26"/>
        <v>690.97727171292649</v>
      </c>
      <c r="P162" s="69">
        <f t="shared" si="26"/>
        <v>725.52613529857285</v>
      </c>
      <c r="Q162" s="10">
        <f t="shared" si="26"/>
        <v>761.80244206350153</v>
      </c>
      <c r="R162" s="69">
        <f t="shared" si="25"/>
        <v>799.89256416667661</v>
      </c>
      <c r="S162" s="70">
        <f t="shared" si="25"/>
        <v>839.8871923750105</v>
      </c>
      <c r="T162" s="15">
        <f t="shared" si="25"/>
        <v>881.88155199376104</v>
      </c>
      <c r="U162" s="16">
        <f t="shared" si="25"/>
        <v>925.97562959344907</v>
      </c>
      <c r="V162" s="17">
        <f t="shared" si="25"/>
        <v>972.27441107312154</v>
      </c>
      <c r="W162" s="16">
        <f t="shared" si="25"/>
        <v>1020.8881316267776</v>
      </c>
      <c r="X162" s="17">
        <f t="shared" si="25"/>
        <v>1071.9325382081165</v>
      </c>
      <c r="Y162" s="16">
        <f t="shared" si="25"/>
        <v>1125.5291651185223</v>
      </c>
      <c r="Z162" s="18">
        <f t="shared" si="25"/>
        <v>1181.8056233744485</v>
      </c>
    </row>
    <row r="163" spans="1:26" x14ac:dyDescent="0.2">
      <c r="A163" s="23">
        <v>39600</v>
      </c>
      <c r="B163" s="71">
        <v>366.44</v>
      </c>
      <c r="C163" s="10">
        <f t="shared" si="26"/>
        <v>384.762</v>
      </c>
      <c r="D163" s="69">
        <f t="shared" si="26"/>
        <v>404.00009999999997</v>
      </c>
      <c r="E163" s="10">
        <f t="shared" si="26"/>
        <v>424.20010499999995</v>
      </c>
      <c r="F163" s="69">
        <f t="shared" si="26"/>
        <v>445.41011024999995</v>
      </c>
      <c r="G163" s="70">
        <f t="shared" si="26"/>
        <v>467.68061576249994</v>
      </c>
      <c r="H163" s="71">
        <f t="shared" si="26"/>
        <v>491.06464655062496</v>
      </c>
      <c r="I163" s="10">
        <f t="shared" si="26"/>
        <v>515.61787887815626</v>
      </c>
      <c r="J163" s="69">
        <f t="shared" si="26"/>
        <v>541.39877282206407</v>
      </c>
      <c r="K163" s="10">
        <f t="shared" si="26"/>
        <v>568.46871146316732</v>
      </c>
      <c r="L163" s="69">
        <f t="shared" si="26"/>
        <v>596.8921470363257</v>
      </c>
      <c r="M163" s="70">
        <f t="shared" si="26"/>
        <v>626.736754388142</v>
      </c>
      <c r="N163" s="71">
        <f t="shared" si="26"/>
        <v>658.07359210754908</v>
      </c>
      <c r="O163" s="10">
        <f t="shared" si="26"/>
        <v>690.97727171292649</v>
      </c>
      <c r="P163" s="69">
        <f t="shared" si="26"/>
        <v>725.52613529857285</v>
      </c>
      <c r="Q163" s="10">
        <f t="shared" si="26"/>
        <v>761.80244206350153</v>
      </c>
      <c r="R163" s="69">
        <f t="shared" si="25"/>
        <v>799.89256416667661</v>
      </c>
      <c r="S163" s="70">
        <f t="shared" si="25"/>
        <v>839.8871923750105</v>
      </c>
      <c r="T163" s="15">
        <f t="shared" si="25"/>
        <v>881.88155199376104</v>
      </c>
      <c r="U163" s="16">
        <f t="shared" si="25"/>
        <v>925.97562959344907</v>
      </c>
      <c r="V163" s="17">
        <f t="shared" si="25"/>
        <v>972.27441107312154</v>
      </c>
      <c r="W163" s="16">
        <f t="shared" si="25"/>
        <v>1020.8881316267776</v>
      </c>
      <c r="X163" s="17">
        <f t="shared" si="25"/>
        <v>1071.9325382081165</v>
      </c>
      <c r="Y163" s="16">
        <f t="shared" si="25"/>
        <v>1125.5291651185223</v>
      </c>
      <c r="Z163" s="18">
        <f t="shared" si="25"/>
        <v>1181.8056233744485</v>
      </c>
    </row>
    <row r="164" spans="1:26" x14ac:dyDescent="0.2">
      <c r="A164" s="23">
        <v>39630</v>
      </c>
      <c r="B164" s="71">
        <v>366.44</v>
      </c>
      <c r="C164" s="10">
        <f t="shared" si="26"/>
        <v>384.762</v>
      </c>
      <c r="D164" s="69">
        <f t="shared" si="26"/>
        <v>404.00009999999997</v>
      </c>
      <c r="E164" s="10">
        <f t="shared" si="26"/>
        <v>424.20010499999995</v>
      </c>
      <c r="F164" s="69">
        <f t="shared" si="26"/>
        <v>445.41011024999995</v>
      </c>
      <c r="G164" s="70">
        <f t="shared" si="26"/>
        <v>467.68061576249994</v>
      </c>
      <c r="H164" s="71">
        <f t="shared" si="26"/>
        <v>491.06464655062496</v>
      </c>
      <c r="I164" s="10">
        <f t="shared" si="26"/>
        <v>515.61787887815626</v>
      </c>
      <c r="J164" s="69">
        <f t="shared" si="26"/>
        <v>541.39877282206407</v>
      </c>
      <c r="K164" s="10">
        <f t="shared" si="26"/>
        <v>568.46871146316732</v>
      </c>
      <c r="L164" s="69">
        <f t="shared" si="26"/>
        <v>596.8921470363257</v>
      </c>
      <c r="M164" s="70">
        <f t="shared" si="26"/>
        <v>626.736754388142</v>
      </c>
      <c r="N164" s="71">
        <f t="shared" si="26"/>
        <v>658.07359210754908</v>
      </c>
      <c r="O164" s="10">
        <f t="shared" si="26"/>
        <v>690.97727171292649</v>
      </c>
      <c r="P164" s="69">
        <f t="shared" si="26"/>
        <v>725.52613529857285</v>
      </c>
      <c r="Q164" s="10">
        <f t="shared" si="26"/>
        <v>761.80244206350153</v>
      </c>
      <c r="R164" s="69">
        <f t="shared" si="26"/>
        <v>799.89256416667661</v>
      </c>
      <c r="S164" s="70">
        <f t="shared" ref="R164:Z179" si="27">(R164*0.05)+R164</f>
        <v>839.8871923750105</v>
      </c>
      <c r="T164" s="15">
        <f t="shared" si="27"/>
        <v>881.88155199376104</v>
      </c>
      <c r="U164" s="16">
        <f t="shared" si="27"/>
        <v>925.97562959344907</v>
      </c>
      <c r="V164" s="17">
        <f t="shared" si="27"/>
        <v>972.27441107312154</v>
      </c>
      <c r="W164" s="16">
        <f t="shared" si="27"/>
        <v>1020.8881316267776</v>
      </c>
      <c r="X164" s="17">
        <f t="shared" si="27"/>
        <v>1071.9325382081165</v>
      </c>
      <c r="Y164" s="16">
        <f t="shared" si="27"/>
        <v>1125.5291651185223</v>
      </c>
      <c r="Z164" s="18">
        <f t="shared" si="27"/>
        <v>1181.8056233744485</v>
      </c>
    </row>
    <row r="165" spans="1:26" x14ac:dyDescent="0.2">
      <c r="A165" s="23">
        <v>39661</v>
      </c>
      <c r="B165" s="71">
        <v>366.44</v>
      </c>
      <c r="C165" s="10">
        <f t="shared" ref="C165:R180" si="28">(B165*0.05)+B165</f>
        <v>384.762</v>
      </c>
      <c r="D165" s="69">
        <f t="shared" si="28"/>
        <v>404.00009999999997</v>
      </c>
      <c r="E165" s="10">
        <f t="shared" si="28"/>
        <v>424.20010499999995</v>
      </c>
      <c r="F165" s="69">
        <f t="shared" si="28"/>
        <v>445.41011024999995</v>
      </c>
      <c r="G165" s="70">
        <f t="shared" si="28"/>
        <v>467.68061576249994</v>
      </c>
      <c r="H165" s="71">
        <f t="shared" si="28"/>
        <v>491.06464655062496</v>
      </c>
      <c r="I165" s="10">
        <f t="shared" si="28"/>
        <v>515.61787887815626</v>
      </c>
      <c r="J165" s="69">
        <f t="shared" si="28"/>
        <v>541.39877282206407</v>
      </c>
      <c r="K165" s="10">
        <f t="shared" si="28"/>
        <v>568.46871146316732</v>
      </c>
      <c r="L165" s="69">
        <f t="shared" si="28"/>
        <v>596.8921470363257</v>
      </c>
      <c r="M165" s="70">
        <f t="shared" si="28"/>
        <v>626.736754388142</v>
      </c>
      <c r="N165" s="71">
        <f t="shared" si="28"/>
        <v>658.07359210754908</v>
      </c>
      <c r="O165" s="10">
        <f t="shared" si="28"/>
        <v>690.97727171292649</v>
      </c>
      <c r="P165" s="69">
        <f t="shared" si="28"/>
        <v>725.52613529857285</v>
      </c>
      <c r="Q165" s="10">
        <f t="shared" si="28"/>
        <v>761.80244206350153</v>
      </c>
      <c r="R165" s="69">
        <f t="shared" si="27"/>
        <v>799.89256416667661</v>
      </c>
      <c r="S165" s="70">
        <f t="shared" si="27"/>
        <v>839.8871923750105</v>
      </c>
      <c r="T165" s="15">
        <f t="shared" si="27"/>
        <v>881.88155199376104</v>
      </c>
      <c r="U165" s="16">
        <f t="shared" si="27"/>
        <v>925.97562959344907</v>
      </c>
      <c r="V165" s="17">
        <f t="shared" si="27"/>
        <v>972.27441107312154</v>
      </c>
      <c r="W165" s="16">
        <f t="shared" si="27"/>
        <v>1020.8881316267776</v>
      </c>
      <c r="X165" s="17">
        <f t="shared" si="27"/>
        <v>1071.9325382081165</v>
      </c>
      <c r="Y165" s="16">
        <f t="shared" si="27"/>
        <v>1125.5291651185223</v>
      </c>
      <c r="Z165" s="18">
        <f t="shared" si="27"/>
        <v>1181.8056233744485</v>
      </c>
    </row>
    <row r="166" spans="1:26" x14ac:dyDescent="0.2">
      <c r="A166" s="23">
        <v>39692</v>
      </c>
      <c r="B166" s="71">
        <v>366.44</v>
      </c>
      <c r="C166" s="10">
        <f t="shared" si="28"/>
        <v>384.762</v>
      </c>
      <c r="D166" s="69">
        <f t="shared" si="28"/>
        <v>404.00009999999997</v>
      </c>
      <c r="E166" s="10">
        <f t="shared" si="28"/>
        <v>424.20010499999995</v>
      </c>
      <c r="F166" s="69">
        <f t="shared" si="28"/>
        <v>445.41011024999995</v>
      </c>
      <c r="G166" s="70">
        <f t="shared" si="28"/>
        <v>467.68061576249994</v>
      </c>
      <c r="H166" s="71">
        <f t="shared" si="28"/>
        <v>491.06464655062496</v>
      </c>
      <c r="I166" s="10">
        <f t="shared" si="28"/>
        <v>515.61787887815626</v>
      </c>
      <c r="J166" s="69">
        <f t="shared" si="28"/>
        <v>541.39877282206407</v>
      </c>
      <c r="K166" s="10">
        <f t="shared" si="28"/>
        <v>568.46871146316732</v>
      </c>
      <c r="L166" s="69">
        <f t="shared" si="28"/>
        <v>596.8921470363257</v>
      </c>
      <c r="M166" s="70">
        <f t="shared" si="28"/>
        <v>626.736754388142</v>
      </c>
      <c r="N166" s="71">
        <f t="shared" si="28"/>
        <v>658.07359210754908</v>
      </c>
      <c r="O166" s="10">
        <f t="shared" si="28"/>
        <v>690.97727171292649</v>
      </c>
      <c r="P166" s="69">
        <f t="shared" si="28"/>
        <v>725.52613529857285</v>
      </c>
      <c r="Q166" s="10">
        <f t="shared" si="28"/>
        <v>761.80244206350153</v>
      </c>
      <c r="R166" s="69">
        <f t="shared" si="27"/>
        <v>799.89256416667661</v>
      </c>
      <c r="S166" s="70">
        <f t="shared" si="27"/>
        <v>839.8871923750105</v>
      </c>
      <c r="T166" s="15">
        <f t="shared" si="27"/>
        <v>881.88155199376104</v>
      </c>
      <c r="U166" s="16">
        <f t="shared" si="27"/>
        <v>925.97562959344907</v>
      </c>
      <c r="V166" s="17">
        <f t="shared" si="27"/>
        <v>972.27441107312154</v>
      </c>
      <c r="W166" s="16">
        <f t="shared" si="27"/>
        <v>1020.8881316267776</v>
      </c>
      <c r="X166" s="17">
        <f t="shared" si="27"/>
        <v>1071.9325382081165</v>
      </c>
      <c r="Y166" s="16">
        <f t="shared" si="27"/>
        <v>1125.5291651185223</v>
      </c>
      <c r="Z166" s="18">
        <f t="shared" si="27"/>
        <v>1181.8056233744485</v>
      </c>
    </row>
    <row r="167" spans="1:26" x14ac:dyDescent="0.2">
      <c r="A167" s="23">
        <v>39722</v>
      </c>
      <c r="B167" s="71">
        <v>366.44</v>
      </c>
      <c r="C167" s="10">
        <f t="shared" si="28"/>
        <v>384.762</v>
      </c>
      <c r="D167" s="69">
        <f t="shared" si="28"/>
        <v>404.00009999999997</v>
      </c>
      <c r="E167" s="10">
        <f t="shared" si="28"/>
        <v>424.20010499999995</v>
      </c>
      <c r="F167" s="69">
        <f t="shared" si="28"/>
        <v>445.41011024999995</v>
      </c>
      <c r="G167" s="70">
        <f t="shared" si="28"/>
        <v>467.68061576249994</v>
      </c>
      <c r="H167" s="71">
        <f t="shared" si="28"/>
        <v>491.06464655062496</v>
      </c>
      <c r="I167" s="10">
        <f t="shared" si="28"/>
        <v>515.61787887815626</v>
      </c>
      <c r="J167" s="69">
        <f t="shared" si="28"/>
        <v>541.39877282206407</v>
      </c>
      <c r="K167" s="10">
        <f t="shared" si="28"/>
        <v>568.46871146316732</v>
      </c>
      <c r="L167" s="69">
        <f t="shared" si="28"/>
        <v>596.8921470363257</v>
      </c>
      <c r="M167" s="70">
        <f t="shared" si="28"/>
        <v>626.736754388142</v>
      </c>
      <c r="N167" s="71">
        <f t="shared" si="28"/>
        <v>658.07359210754908</v>
      </c>
      <c r="O167" s="10">
        <f t="shared" si="28"/>
        <v>690.97727171292649</v>
      </c>
      <c r="P167" s="69">
        <f t="shared" si="28"/>
        <v>725.52613529857285</v>
      </c>
      <c r="Q167" s="10">
        <f t="shared" si="28"/>
        <v>761.80244206350153</v>
      </c>
      <c r="R167" s="69">
        <f t="shared" si="27"/>
        <v>799.89256416667661</v>
      </c>
      <c r="S167" s="70">
        <f t="shared" si="27"/>
        <v>839.8871923750105</v>
      </c>
      <c r="T167" s="15">
        <f t="shared" si="27"/>
        <v>881.88155199376104</v>
      </c>
      <c r="U167" s="16">
        <f t="shared" si="27"/>
        <v>925.97562959344907</v>
      </c>
      <c r="V167" s="17">
        <f t="shared" si="27"/>
        <v>972.27441107312154</v>
      </c>
      <c r="W167" s="16">
        <f t="shared" si="27"/>
        <v>1020.8881316267776</v>
      </c>
      <c r="X167" s="17">
        <f t="shared" si="27"/>
        <v>1071.9325382081165</v>
      </c>
      <c r="Y167" s="16">
        <f t="shared" si="27"/>
        <v>1125.5291651185223</v>
      </c>
      <c r="Z167" s="18">
        <f t="shared" si="27"/>
        <v>1181.8056233744485</v>
      </c>
    </row>
    <row r="168" spans="1:26" x14ac:dyDescent="0.2">
      <c r="A168" s="23">
        <v>39753</v>
      </c>
      <c r="B168" s="71">
        <v>366.44</v>
      </c>
      <c r="C168" s="10">
        <f t="shared" si="28"/>
        <v>384.762</v>
      </c>
      <c r="D168" s="69">
        <f t="shared" si="28"/>
        <v>404.00009999999997</v>
      </c>
      <c r="E168" s="10">
        <f t="shared" si="28"/>
        <v>424.20010499999995</v>
      </c>
      <c r="F168" s="69">
        <f t="shared" si="28"/>
        <v>445.41011024999995</v>
      </c>
      <c r="G168" s="70">
        <f t="shared" si="28"/>
        <v>467.68061576249994</v>
      </c>
      <c r="H168" s="71">
        <f t="shared" si="28"/>
        <v>491.06464655062496</v>
      </c>
      <c r="I168" s="10">
        <f t="shared" si="28"/>
        <v>515.61787887815626</v>
      </c>
      <c r="J168" s="69">
        <f t="shared" si="28"/>
        <v>541.39877282206407</v>
      </c>
      <c r="K168" s="10">
        <f t="shared" si="28"/>
        <v>568.46871146316732</v>
      </c>
      <c r="L168" s="69">
        <f t="shared" si="28"/>
        <v>596.8921470363257</v>
      </c>
      <c r="M168" s="70">
        <f t="shared" si="28"/>
        <v>626.736754388142</v>
      </c>
      <c r="N168" s="71">
        <f t="shared" si="28"/>
        <v>658.07359210754908</v>
      </c>
      <c r="O168" s="10">
        <f t="shared" si="28"/>
        <v>690.97727171292649</v>
      </c>
      <c r="P168" s="69">
        <f t="shared" si="28"/>
        <v>725.52613529857285</v>
      </c>
      <c r="Q168" s="10">
        <f t="shared" si="28"/>
        <v>761.80244206350153</v>
      </c>
      <c r="R168" s="69">
        <f t="shared" si="27"/>
        <v>799.89256416667661</v>
      </c>
      <c r="S168" s="70">
        <f t="shared" si="27"/>
        <v>839.8871923750105</v>
      </c>
      <c r="T168" s="15">
        <f t="shared" si="27"/>
        <v>881.88155199376104</v>
      </c>
      <c r="U168" s="16">
        <f t="shared" si="27"/>
        <v>925.97562959344907</v>
      </c>
      <c r="V168" s="17">
        <f t="shared" si="27"/>
        <v>972.27441107312154</v>
      </c>
      <c r="W168" s="16">
        <f t="shared" si="27"/>
        <v>1020.8881316267776</v>
      </c>
      <c r="X168" s="17">
        <f t="shared" si="27"/>
        <v>1071.9325382081165</v>
      </c>
      <c r="Y168" s="16">
        <f t="shared" si="27"/>
        <v>1125.5291651185223</v>
      </c>
      <c r="Z168" s="18">
        <f t="shared" si="27"/>
        <v>1181.8056233744485</v>
      </c>
    </row>
    <row r="169" spans="1:26" x14ac:dyDescent="0.2">
      <c r="A169" s="23">
        <v>39783</v>
      </c>
      <c r="B169" s="71">
        <v>366.44</v>
      </c>
      <c r="C169" s="10">
        <f t="shared" si="28"/>
        <v>384.762</v>
      </c>
      <c r="D169" s="69">
        <f t="shared" si="28"/>
        <v>404.00009999999997</v>
      </c>
      <c r="E169" s="10">
        <f t="shared" si="28"/>
        <v>424.20010499999995</v>
      </c>
      <c r="F169" s="69">
        <f t="shared" si="28"/>
        <v>445.41011024999995</v>
      </c>
      <c r="G169" s="70">
        <f t="shared" si="28"/>
        <v>467.68061576249994</v>
      </c>
      <c r="H169" s="71">
        <f t="shared" si="28"/>
        <v>491.06464655062496</v>
      </c>
      <c r="I169" s="10">
        <f t="shared" si="28"/>
        <v>515.61787887815626</v>
      </c>
      <c r="J169" s="69">
        <f t="shared" si="28"/>
        <v>541.39877282206407</v>
      </c>
      <c r="K169" s="10">
        <f t="shared" si="28"/>
        <v>568.46871146316732</v>
      </c>
      <c r="L169" s="69">
        <f t="shared" si="28"/>
        <v>596.8921470363257</v>
      </c>
      <c r="M169" s="70">
        <f t="shared" si="28"/>
        <v>626.736754388142</v>
      </c>
      <c r="N169" s="71">
        <f t="shared" si="28"/>
        <v>658.07359210754908</v>
      </c>
      <c r="O169" s="10">
        <f t="shared" si="28"/>
        <v>690.97727171292649</v>
      </c>
      <c r="P169" s="69">
        <f t="shared" si="28"/>
        <v>725.52613529857285</v>
      </c>
      <c r="Q169" s="10">
        <f t="shared" si="28"/>
        <v>761.80244206350153</v>
      </c>
      <c r="R169" s="69">
        <f t="shared" si="27"/>
        <v>799.89256416667661</v>
      </c>
      <c r="S169" s="70">
        <f t="shared" si="27"/>
        <v>839.8871923750105</v>
      </c>
      <c r="T169" s="15">
        <f t="shared" si="27"/>
        <v>881.88155199376104</v>
      </c>
      <c r="U169" s="16">
        <f t="shared" si="27"/>
        <v>925.97562959344907</v>
      </c>
      <c r="V169" s="17">
        <f t="shared" si="27"/>
        <v>972.27441107312154</v>
      </c>
      <c r="W169" s="16">
        <f t="shared" si="27"/>
        <v>1020.8881316267776</v>
      </c>
      <c r="X169" s="17">
        <f t="shared" si="27"/>
        <v>1071.9325382081165</v>
      </c>
      <c r="Y169" s="16">
        <f t="shared" si="27"/>
        <v>1125.5291651185223</v>
      </c>
      <c r="Z169" s="18">
        <f t="shared" si="27"/>
        <v>1181.8056233744485</v>
      </c>
    </row>
    <row r="170" spans="1:26" x14ac:dyDescent="0.2">
      <c r="A170" s="23">
        <v>39814</v>
      </c>
      <c r="B170" s="71">
        <v>366.44</v>
      </c>
      <c r="C170" s="10">
        <f t="shared" si="28"/>
        <v>384.762</v>
      </c>
      <c r="D170" s="69">
        <f t="shared" si="28"/>
        <v>404.00009999999997</v>
      </c>
      <c r="E170" s="10">
        <f t="shared" si="28"/>
        <v>424.20010499999995</v>
      </c>
      <c r="F170" s="69">
        <f t="shared" si="28"/>
        <v>445.41011024999995</v>
      </c>
      <c r="G170" s="70">
        <f t="shared" si="28"/>
        <v>467.68061576249994</v>
      </c>
      <c r="H170" s="71">
        <f t="shared" si="28"/>
        <v>491.06464655062496</v>
      </c>
      <c r="I170" s="10">
        <f t="shared" si="28"/>
        <v>515.61787887815626</v>
      </c>
      <c r="J170" s="69">
        <f t="shared" si="28"/>
        <v>541.39877282206407</v>
      </c>
      <c r="K170" s="10">
        <f t="shared" si="28"/>
        <v>568.46871146316732</v>
      </c>
      <c r="L170" s="69">
        <f t="shared" si="28"/>
        <v>596.8921470363257</v>
      </c>
      <c r="M170" s="70">
        <f t="shared" si="28"/>
        <v>626.736754388142</v>
      </c>
      <c r="N170" s="71">
        <f t="shared" si="28"/>
        <v>658.07359210754908</v>
      </c>
      <c r="O170" s="10">
        <f t="shared" si="28"/>
        <v>690.97727171292649</v>
      </c>
      <c r="P170" s="69">
        <f t="shared" si="28"/>
        <v>725.52613529857285</v>
      </c>
      <c r="Q170" s="10">
        <f t="shared" si="28"/>
        <v>761.80244206350153</v>
      </c>
      <c r="R170" s="69">
        <f t="shared" si="28"/>
        <v>799.89256416667661</v>
      </c>
      <c r="S170" s="70">
        <f t="shared" si="27"/>
        <v>839.8871923750105</v>
      </c>
      <c r="T170" s="15">
        <f t="shared" si="27"/>
        <v>881.88155199376104</v>
      </c>
      <c r="U170" s="16">
        <f t="shared" si="27"/>
        <v>925.97562959344907</v>
      </c>
      <c r="V170" s="17">
        <f t="shared" si="27"/>
        <v>972.27441107312154</v>
      </c>
      <c r="W170" s="16">
        <f t="shared" si="27"/>
        <v>1020.8881316267776</v>
      </c>
      <c r="X170" s="17">
        <f t="shared" si="27"/>
        <v>1071.9325382081165</v>
      </c>
      <c r="Y170" s="16">
        <f t="shared" si="27"/>
        <v>1125.5291651185223</v>
      </c>
      <c r="Z170" s="18">
        <f t="shared" si="27"/>
        <v>1181.8056233744485</v>
      </c>
    </row>
    <row r="171" spans="1:26" x14ac:dyDescent="0.2">
      <c r="A171" s="23">
        <v>39845</v>
      </c>
      <c r="B171" s="71">
        <v>366.44</v>
      </c>
      <c r="C171" s="10">
        <f t="shared" si="28"/>
        <v>384.762</v>
      </c>
      <c r="D171" s="69">
        <f t="shared" si="28"/>
        <v>404.00009999999997</v>
      </c>
      <c r="E171" s="10">
        <f t="shared" si="28"/>
        <v>424.20010499999995</v>
      </c>
      <c r="F171" s="69">
        <f t="shared" si="28"/>
        <v>445.41011024999995</v>
      </c>
      <c r="G171" s="70">
        <f t="shared" si="28"/>
        <v>467.68061576249994</v>
      </c>
      <c r="H171" s="71">
        <f t="shared" si="28"/>
        <v>491.06464655062496</v>
      </c>
      <c r="I171" s="10">
        <f t="shared" si="28"/>
        <v>515.61787887815626</v>
      </c>
      <c r="J171" s="69">
        <f t="shared" si="28"/>
        <v>541.39877282206407</v>
      </c>
      <c r="K171" s="10">
        <f t="shared" si="28"/>
        <v>568.46871146316732</v>
      </c>
      <c r="L171" s="69">
        <f t="shared" si="28"/>
        <v>596.8921470363257</v>
      </c>
      <c r="M171" s="70">
        <f t="shared" si="28"/>
        <v>626.736754388142</v>
      </c>
      <c r="N171" s="71">
        <f t="shared" si="28"/>
        <v>658.07359210754908</v>
      </c>
      <c r="O171" s="10">
        <f t="shared" si="28"/>
        <v>690.97727171292649</v>
      </c>
      <c r="P171" s="69">
        <f t="shared" si="28"/>
        <v>725.52613529857285</v>
      </c>
      <c r="Q171" s="10">
        <f t="shared" si="28"/>
        <v>761.80244206350153</v>
      </c>
      <c r="R171" s="69">
        <f t="shared" si="28"/>
        <v>799.89256416667661</v>
      </c>
      <c r="S171" s="70">
        <f t="shared" si="27"/>
        <v>839.8871923750105</v>
      </c>
      <c r="T171" s="15">
        <f t="shared" si="27"/>
        <v>881.88155199376104</v>
      </c>
      <c r="U171" s="16">
        <f t="shared" si="27"/>
        <v>925.97562959344907</v>
      </c>
      <c r="V171" s="17">
        <f t="shared" si="27"/>
        <v>972.27441107312154</v>
      </c>
      <c r="W171" s="16">
        <f t="shared" si="27"/>
        <v>1020.8881316267776</v>
      </c>
      <c r="X171" s="17">
        <f t="shared" si="27"/>
        <v>1071.9325382081165</v>
      </c>
      <c r="Y171" s="16">
        <f t="shared" si="27"/>
        <v>1125.5291651185223</v>
      </c>
      <c r="Z171" s="18">
        <f t="shared" si="27"/>
        <v>1181.8056233744485</v>
      </c>
    </row>
    <row r="172" spans="1:26" x14ac:dyDescent="0.2">
      <c r="A172" s="23">
        <v>39873</v>
      </c>
      <c r="B172" s="71">
        <v>388.06</v>
      </c>
      <c r="C172" s="10">
        <f t="shared" si="28"/>
        <v>407.46300000000002</v>
      </c>
      <c r="D172" s="69">
        <f t="shared" si="28"/>
        <v>427.83615000000003</v>
      </c>
      <c r="E172" s="10">
        <f t="shared" si="28"/>
        <v>449.22795750000006</v>
      </c>
      <c r="F172" s="69">
        <f t="shared" si="28"/>
        <v>471.68935537500005</v>
      </c>
      <c r="G172" s="70">
        <f t="shared" si="28"/>
        <v>495.27382314375006</v>
      </c>
      <c r="H172" s="71">
        <f t="shared" si="28"/>
        <v>520.03751430093757</v>
      </c>
      <c r="I172" s="10">
        <f t="shared" si="28"/>
        <v>546.03939001598451</v>
      </c>
      <c r="J172" s="69">
        <f t="shared" si="28"/>
        <v>573.34135951678377</v>
      </c>
      <c r="K172" s="10">
        <f t="shared" si="28"/>
        <v>602.00842749262301</v>
      </c>
      <c r="L172" s="69">
        <f t="shared" si="28"/>
        <v>632.10884886725421</v>
      </c>
      <c r="M172" s="70">
        <f t="shared" si="28"/>
        <v>663.71429131061689</v>
      </c>
      <c r="N172" s="71">
        <f t="shared" si="28"/>
        <v>696.9000058761477</v>
      </c>
      <c r="O172" s="10">
        <f t="shared" si="28"/>
        <v>731.7450061699551</v>
      </c>
      <c r="P172" s="69">
        <f t="shared" si="28"/>
        <v>768.3322564784529</v>
      </c>
      <c r="Q172" s="10">
        <f t="shared" si="28"/>
        <v>806.74886930237551</v>
      </c>
      <c r="R172" s="69">
        <f t="shared" si="28"/>
        <v>847.08631276749429</v>
      </c>
      <c r="S172" s="70">
        <f t="shared" si="27"/>
        <v>889.44062840586901</v>
      </c>
      <c r="T172" s="15">
        <f t="shared" si="27"/>
        <v>933.91265982616244</v>
      </c>
      <c r="U172" s="16">
        <f t="shared" si="27"/>
        <v>980.60829281747056</v>
      </c>
      <c r="V172" s="17">
        <f t="shared" si="27"/>
        <v>1029.638707458344</v>
      </c>
      <c r="W172" s="16">
        <f t="shared" si="27"/>
        <v>1081.1206428312612</v>
      </c>
      <c r="X172" s="17">
        <f t="shared" si="27"/>
        <v>1135.1766749728242</v>
      </c>
      <c r="Y172" s="16">
        <f t="shared" si="27"/>
        <v>1191.9355087214653</v>
      </c>
      <c r="Z172" s="18">
        <f t="shared" si="27"/>
        <v>1251.5322841575387</v>
      </c>
    </row>
    <row r="173" spans="1:26" x14ac:dyDescent="0.2">
      <c r="A173" s="23">
        <v>39904</v>
      </c>
      <c r="B173" s="71">
        <v>388.06</v>
      </c>
      <c r="C173" s="10">
        <f t="shared" si="28"/>
        <v>407.46300000000002</v>
      </c>
      <c r="D173" s="69">
        <f t="shared" si="28"/>
        <v>427.83615000000003</v>
      </c>
      <c r="E173" s="10">
        <f t="shared" si="28"/>
        <v>449.22795750000006</v>
      </c>
      <c r="F173" s="69">
        <f t="shared" si="28"/>
        <v>471.68935537500005</v>
      </c>
      <c r="G173" s="70">
        <f t="shared" si="28"/>
        <v>495.27382314375006</v>
      </c>
      <c r="H173" s="71">
        <f t="shared" si="28"/>
        <v>520.03751430093757</v>
      </c>
      <c r="I173" s="10">
        <f t="shared" si="28"/>
        <v>546.03939001598451</v>
      </c>
      <c r="J173" s="69">
        <f t="shared" si="28"/>
        <v>573.34135951678377</v>
      </c>
      <c r="K173" s="10">
        <f t="shared" si="28"/>
        <v>602.00842749262301</v>
      </c>
      <c r="L173" s="69">
        <f t="shared" si="28"/>
        <v>632.10884886725421</v>
      </c>
      <c r="M173" s="70">
        <f t="shared" si="28"/>
        <v>663.71429131061689</v>
      </c>
      <c r="N173" s="71">
        <f t="shared" si="28"/>
        <v>696.9000058761477</v>
      </c>
      <c r="O173" s="10">
        <f t="shared" si="28"/>
        <v>731.7450061699551</v>
      </c>
      <c r="P173" s="69">
        <f t="shared" si="28"/>
        <v>768.3322564784529</v>
      </c>
      <c r="Q173" s="10">
        <f t="shared" si="28"/>
        <v>806.74886930237551</v>
      </c>
      <c r="R173" s="69">
        <f t="shared" si="28"/>
        <v>847.08631276749429</v>
      </c>
      <c r="S173" s="70">
        <f t="shared" si="27"/>
        <v>889.44062840586901</v>
      </c>
      <c r="T173" s="15">
        <f t="shared" si="27"/>
        <v>933.91265982616244</v>
      </c>
      <c r="U173" s="16">
        <f t="shared" si="27"/>
        <v>980.60829281747056</v>
      </c>
      <c r="V173" s="17">
        <f t="shared" si="27"/>
        <v>1029.638707458344</v>
      </c>
      <c r="W173" s="16">
        <f t="shared" si="27"/>
        <v>1081.1206428312612</v>
      </c>
      <c r="X173" s="17">
        <f t="shared" si="27"/>
        <v>1135.1766749728242</v>
      </c>
      <c r="Y173" s="16">
        <f t="shared" si="27"/>
        <v>1191.9355087214653</v>
      </c>
      <c r="Z173" s="18">
        <f t="shared" si="27"/>
        <v>1251.5322841575387</v>
      </c>
    </row>
    <row r="174" spans="1:26" x14ac:dyDescent="0.2">
      <c r="A174" s="23">
        <v>39934</v>
      </c>
      <c r="B174" s="71">
        <v>388.06</v>
      </c>
      <c r="C174" s="10">
        <f t="shared" si="28"/>
        <v>407.46300000000002</v>
      </c>
      <c r="D174" s="69">
        <f t="shared" si="28"/>
        <v>427.83615000000003</v>
      </c>
      <c r="E174" s="10">
        <f t="shared" si="28"/>
        <v>449.22795750000006</v>
      </c>
      <c r="F174" s="69">
        <f t="shared" si="28"/>
        <v>471.68935537500005</v>
      </c>
      <c r="G174" s="70">
        <f t="shared" si="28"/>
        <v>495.27382314375006</v>
      </c>
      <c r="H174" s="71">
        <f t="shared" si="28"/>
        <v>520.03751430093757</v>
      </c>
      <c r="I174" s="10">
        <f t="shared" si="28"/>
        <v>546.03939001598451</v>
      </c>
      <c r="J174" s="69">
        <f t="shared" si="28"/>
        <v>573.34135951678377</v>
      </c>
      <c r="K174" s="10">
        <f t="shared" si="28"/>
        <v>602.00842749262301</v>
      </c>
      <c r="L174" s="69">
        <f t="shared" si="28"/>
        <v>632.10884886725421</v>
      </c>
      <c r="M174" s="70">
        <f t="shared" si="28"/>
        <v>663.71429131061689</v>
      </c>
      <c r="N174" s="71">
        <f t="shared" si="28"/>
        <v>696.9000058761477</v>
      </c>
      <c r="O174" s="10">
        <f t="shared" si="28"/>
        <v>731.7450061699551</v>
      </c>
      <c r="P174" s="69">
        <f t="shared" si="28"/>
        <v>768.3322564784529</v>
      </c>
      <c r="Q174" s="10">
        <f t="shared" si="28"/>
        <v>806.74886930237551</v>
      </c>
      <c r="R174" s="69">
        <f t="shared" si="28"/>
        <v>847.08631276749429</v>
      </c>
      <c r="S174" s="70">
        <f t="shared" si="27"/>
        <v>889.44062840586901</v>
      </c>
      <c r="T174" s="15">
        <f t="shared" si="27"/>
        <v>933.91265982616244</v>
      </c>
      <c r="U174" s="16">
        <f t="shared" si="27"/>
        <v>980.60829281747056</v>
      </c>
      <c r="V174" s="17">
        <f t="shared" si="27"/>
        <v>1029.638707458344</v>
      </c>
      <c r="W174" s="16">
        <f t="shared" si="27"/>
        <v>1081.1206428312612</v>
      </c>
      <c r="X174" s="17">
        <f t="shared" si="27"/>
        <v>1135.1766749728242</v>
      </c>
      <c r="Y174" s="16">
        <f t="shared" si="27"/>
        <v>1191.9355087214653</v>
      </c>
      <c r="Z174" s="18">
        <f t="shared" si="27"/>
        <v>1251.5322841575387</v>
      </c>
    </row>
    <row r="175" spans="1:26" x14ac:dyDescent="0.2">
      <c r="A175" s="23">
        <v>39965</v>
      </c>
      <c r="B175" s="71">
        <v>388.06</v>
      </c>
      <c r="C175" s="10">
        <f t="shared" si="28"/>
        <v>407.46300000000002</v>
      </c>
      <c r="D175" s="69">
        <f t="shared" si="28"/>
        <v>427.83615000000003</v>
      </c>
      <c r="E175" s="10">
        <f t="shared" si="28"/>
        <v>449.22795750000006</v>
      </c>
      <c r="F175" s="69">
        <f t="shared" si="28"/>
        <v>471.68935537500005</v>
      </c>
      <c r="G175" s="70">
        <f t="shared" si="28"/>
        <v>495.27382314375006</v>
      </c>
      <c r="H175" s="71">
        <f t="shared" si="28"/>
        <v>520.03751430093757</v>
      </c>
      <c r="I175" s="10">
        <f t="shared" si="28"/>
        <v>546.03939001598451</v>
      </c>
      <c r="J175" s="69">
        <f t="shared" si="28"/>
        <v>573.34135951678377</v>
      </c>
      <c r="K175" s="10">
        <f t="shared" si="28"/>
        <v>602.00842749262301</v>
      </c>
      <c r="L175" s="69">
        <f t="shared" si="28"/>
        <v>632.10884886725421</v>
      </c>
      <c r="M175" s="70">
        <f t="shared" si="28"/>
        <v>663.71429131061689</v>
      </c>
      <c r="N175" s="71">
        <f t="shared" si="28"/>
        <v>696.9000058761477</v>
      </c>
      <c r="O175" s="10">
        <f t="shared" si="28"/>
        <v>731.7450061699551</v>
      </c>
      <c r="P175" s="69">
        <f t="shared" si="28"/>
        <v>768.3322564784529</v>
      </c>
      <c r="Q175" s="10">
        <f t="shared" si="28"/>
        <v>806.74886930237551</v>
      </c>
      <c r="R175" s="69">
        <f t="shared" si="28"/>
        <v>847.08631276749429</v>
      </c>
      <c r="S175" s="70">
        <f t="shared" si="27"/>
        <v>889.44062840586901</v>
      </c>
      <c r="T175" s="15">
        <f t="shared" si="27"/>
        <v>933.91265982616244</v>
      </c>
      <c r="U175" s="16">
        <f t="shared" si="27"/>
        <v>980.60829281747056</v>
      </c>
      <c r="V175" s="17">
        <f t="shared" si="27"/>
        <v>1029.638707458344</v>
      </c>
      <c r="W175" s="16">
        <f t="shared" si="27"/>
        <v>1081.1206428312612</v>
      </c>
      <c r="X175" s="17">
        <f t="shared" si="27"/>
        <v>1135.1766749728242</v>
      </c>
      <c r="Y175" s="16">
        <f t="shared" si="27"/>
        <v>1191.9355087214653</v>
      </c>
      <c r="Z175" s="18">
        <f t="shared" si="27"/>
        <v>1251.5322841575387</v>
      </c>
    </row>
    <row r="176" spans="1:26" x14ac:dyDescent="0.2">
      <c r="A176" s="23">
        <v>39995</v>
      </c>
      <c r="B176" s="71">
        <v>388.06</v>
      </c>
      <c r="C176" s="10">
        <f t="shared" si="28"/>
        <v>407.46300000000002</v>
      </c>
      <c r="D176" s="69">
        <f t="shared" si="28"/>
        <v>427.83615000000003</v>
      </c>
      <c r="E176" s="10">
        <f t="shared" si="28"/>
        <v>449.22795750000006</v>
      </c>
      <c r="F176" s="69">
        <f t="shared" si="28"/>
        <v>471.68935537500005</v>
      </c>
      <c r="G176" s="70">
        <f t="shared" si="28"/>
        <v>495.27382314375006</v>
      </c>
      <c r="H176" s="71">
        <f t="shared" si="28"/>
        <v>520.03751430093757</v>
      </c>
      <c r="I176" s="10">
        <f t="shared" si="28"/>
        <v>546.03939001598451</v>
      </c>
      <c r="J176" s="69">
        <f t="shared" si="28"/>
        <v>573.34135951678377</v>
      </c>
      <c r="K176" s="10">
        <f t="shared" si="28"/>
        <v>602.00842749262301</v>
      </c>
      <c r="L176" s="69">
        <f t="shared" si="28"/>
        <v>632.10884886725421</v>
      </c>
      <c r="M176" s="70">
        <f t="shared" si="28"/>
        <v>663.71429131061689</v>
      </c>
      <c r="N176" s="71">
        <f t="shared" si="28"/>
        <v>696.9000058761477</v>
      </c>
      <c r="O176" s="10">
        <f t="shared" si="28"/>
        <v>731.7450061699551</v>
      </c>
      <c r="P176" s="69">
        <f t="shared" si="28"/>
        <v>768.3322564784529</v>
      </c>
      <c r="Q176" s="10">
        <f t="shared" si="28"/>
        <v>806.74886930237551</v>
      </c>
      <c r="R176" s="69">
        <f t="shared" si="28"/>
        <v>847.08631276749429</v>
      </c>
      <c r="S176" s="70">
        <f t="shared" si="27"/>
        <v>889.44062840586901</v>
      </c>
      <c r="T176" s="15">
        <f t="shared" si="27"/>
        <v>933.91265982616244</v>
      </c>
      <c r="U176" s="16">
        <f t="shared" si="27"/>
        <v>980.60829281747056</v>
      </c>
      <c r="V176" s="17">
        <f t="shared" si="27"/>
        <v>1029.638707458344</v>
      </c>
      <c r="W176" s="16">
        <f t="shared" si="27"/>
        <v>1081.1206428312612</v>
      </c>
      <c r="X176" s="17">
        <f t="shared" si="27"/>
        <v>1135.1766749728242</v>
      </c>
      <c r="Y176" s="16">
        <f t="shared" si="27"/>
        <v>1191.9355087214653</v>
      </c>
      <c r="Z176" s="18">
        <f t="shared" si="27"/>
        <v>1251.5322841575387</v>
      </c>
    </row>
    <row r="177" spans="1:26" x14ac:dyDescent="0.2">
      <c r="A177" s="23">
        <v>40026</v>
      </c>
      <c r="B177" s="71">
        <v>388.06</v>
      </c>
      <c r="C177" s="10">
        <f t="shared" si="28"/>
        <v>407.46300000000002</v>
      </c>
      <c r="D177" s="69">
        <f t="shared" si="28"/>
        <v>427.83615000000003</v>
      </c>
      <c r="E177" s="10">
        <f t="shared" si="28"/>
        <v>449.22795750000006</v>
      </c>
      <c r="F177" s="69">
        <f t="shared" si="28"/>
        <v>471.68935537500005</v>
      </c>
      <c r="G177" s="70">
        <f t="shared" si="28"/>
        <v>495.27382314375006</v>
      </c>
      <c r="H177" s="71">
        <f t="shared" si="28"/>
        <v>520.03751430093757</v>
      </c>
      <c r="I177" s="10">
        <f t="shared" si="28"/>
        <v>546.03939001598451</v>
      </c>
      <c r="J177" s="69">
        <f t="shared" si="28"/>
        <v>573.34135951678377</v>
      </c>
      <c r="K177" s="10">
        <f t="shared" si="28"/>
        <v>602.00842749262301</v>
      </c>
      <c r="L177" s="69">
        <f t="shared" si="28"/>
        <v>632.10884886725421</v>
      </c>
      <c r="M177" s="70">
        <f t="shared" si="28"/>
        <v>663.71429131061689</v>
      </c>
      <c r="N177" s="71">
        <f t="shared" si="28"/>
        <v>696.9000058761477</v>
      </c>
      <c r="O177" s="10">
        <f t="shared" si="28"/>
        <v>731.7450061699551</v>
      </c>
      <c r="P177" s="69">
        <f t="shared" si="28"/>
        <v>768.3322564784529</v>
      </c>
      <c r="Q177" s="10">
        <f t="shared" si="28"/>
        <v>806.74886930237551</v>
      </c>
      <c r="R177" s="69">
        <f t="shared" si="28"/>
        <v>847.08631276749429</v>
      </c>
      <c r="S177" s="70">
        <f t="shared" si="27"/>
        <v>889.44062840586901</v>
      </c>
      <c r="T177" s="15">
        <f t="shared" si="27"/>
        <v>933.91265982616244</v>
      </c>
      <c r="U177" s="16">
        <f t="shared" si="27"/>
        <v>980.60829281747056</v>
      </c>
      <c r="V177" s="17">
        <f t="shared" si="27"/>
        <v>1029.638707458344</v>
      </c>
      <c r="W177" s="16">
        <f t="shared" si="27"/>
        <v>1081.1206428312612</v>
      </c>
      <c r="X177" s="17">
        <f t="shared" si="27"/>
        <v>1135.1766749728242</v>
      </c>
      <c r="Y177" s="16">
        <f t="shared" si="27"/>
        <v>1191.9355087214653</v>
      </c>
      <c r="Z177" s="18">
        <f t="shared" si="27"/>
        <v>1251.5322841575387</v>
      </c>
    </row>
    <row r="178" spans="1:26" x14ac:dyDescent="0.2">
      <c r="A178" s="23">
        <v>40057</v>
      </c>
      <c r="B178" s="71">
        <v>388.06</v>
      </c>
      <c r="C178" s="10">
        <f t="shared" si="28"/>
        <v>407.46300000000002</v>
      </c>
      <c r="D178" s="69">
        <f t="shared" si="28"/>
        <v>427.83615000000003</v>
      </c>
      <c r="E178" s="10">
        <f t="shared" si="28"/>
        <v>449.22795750000006</v>
      </c>
      <c r="F178" s="69">
        <f t="shared" si="28"/>
        <v>471.68935537500005</v>
      </c>
      <c r="G178" s="70">
        <f t="shared" si="28"/>
        <v>495.27382314375006</v>
      </c>
      <c r="H178" s="71">
        <f t="shared" si="28"/>
        <v>520.03751430093757</v>
      </c>
      <c r="I178" s="10">
        <f t="shared" si="28"/>
        <v>546.03939001598451</v>
      </c>
      <c r="J178" s="69">
        <f t="shared" si="28"/>
        <v>573.34135951678377</v>
      </c>
      <c r="K178" s="10">
        <f t="shared" si="28"/>
        <v>602.00842749262301</v>
      </c>
      <c r="L178" s="69">
        <f t="shared" si="28"/>
        <v>632.10884886725421</v>
      </c>
      <c r="M178" s="70">
        <f t="shared" si="28"/>
        <v>663.71429131061689</v>
      </c>
      <c r="N178" s="71">
        <f t="shared" si="28"/>
        <v>696.9000058761477</v>
      </c>
      <c r="O178" s="10">
        <f t="shared" si="28"/>
        <v>731.7450061699551</v>
      </c>
      <c r="P178" s="69">
        <f t="shared" si="28"/>
        <v>768.3322564784529</v>
      </c>
      <c r="Q178" s="10">
        <f t="shared" si="28"/>
        <v>806.74886930237551</v>
      </c>
      <c r="R178" s="69">
        <f t="shared" si="28"/>
        <v>847.08631276749429</v>
      </c>
      <c r="S178" s="70">
        <f t="shared" si="27"/>
        <v>889.44062840586901</v>
      </c>
      <c r="T178" s="15">
        <f t="shared" si="27"/>
        <v>933.91265982616244</v>
      </c>
      <c r="U178" s="16">
        <f t="shared" si="27"/>
        <v>980.60829281747056</v>
      </c>
      <c r="V178" s="17">
        <f t="shared" si="27"/>
        <v>1029.638707458344</v>
      </c>
      <c r="W178" s="16">
        <f t="shared" si="27"/>
        <v>1081.1206428312612</v>
      </c>
      <c r="X178" s="17">
        <f t="shared" si="27"/>
        <v>1135.1766749728242</v>
      </c>
      <c r="Y178" s="16">
        <f t="shared" si="27"/>
        <v>1191.9355087214653</v>
      </c>
      <c r="Z178" s="18">
        <f t="shared" si="27"/>
        <v>1251.5322841575387</v>
      </c>
    </row>
    <row r="179" spans="1:26" x14ac:dyDescent="0.2">
      <c r="A179" s="23">
        <v>40087</v>
      </c>
      <c r="B179" s="71">
        <v>419.1</v>
      </c>
      <c r="C179" s="10">
        <f t="shared" si="28"/>
        <v>440.05500000000001</v>
      </c>
      <c r="D179" s="69">
        <f t="shared" si="28"/>
        <v>462.05775</v>
      </c>
      <c r="E179" s="10">
        <f t="shared" si="28"/>
        <v>485.16063750000001</v>
      </c>
      <c r="F179" s="69">
        <f t="shared" si="28"/>
        <v>509.41866937500004</v>
      </c>
      <c r="G179" s="70">
        <f t="shared" si="28"/>
        <v>534.88960284375003</v>
      </c>
      <c r="H179" s="71">
        <f t="shared" si="28"/>
        <v>561.63408298593754</v>
      </c>
      <c r="I179" s="10">
        <f t="shared" si="28"/>
        <v>589.71578713523445</v>
      </c>
      <c r="J179" s="69">
        <f t="shared" si="28"/>
        <v>619.20157649199621</v>
      </c>
      <c r="K179" s="10">
        <f t="shared" si="28"/>
        <v>650.16165531659601</v>
      </c>
      <c r="L179" s="69">
        <f t="shared" si="28"/>
        <v>682.66973808242585</v>
      </c>
      <c r="M179" s="70">
        <f t="shared" si="28"/>
        <v>716.80322498654709</v>
      </c>
      <c r="N179" s="71">
        <f t="shared" si="28"/>
        <v>752.64338623587446</v>
      </c>
      <c r="O179" s="10">
        <f t="shared" si="28"/>
        <v>790.2755555476682</v>
      </c>
      <c r="P179" s="69">
        <f t="shared" si="28"/>
        <v>829.78933332505164</v>
      </c>
      <c r="Q179" s="10">
        <f t="shared" si="28"/>
        <v>871.27879999130425</v>
      </c>
      <c r="R179" s="69">
        <f t="shared" si="28"/>
        <v>914.84273999086952</v>
      </c>
      <c r="S179" s="70">
        <f t="shared" si="27"/>
        <v>960.58487699041302</v>
      </c>
      <c r="T179" s="15">
        <f t="shared" si="27"/>
        <v>1008.6141208399337</v>
      </c>
      <c r="U179" s="16">
        <f t="shared" si="27"/>
        <v>1059.0448268819302</v>
      </c>
      <c r="V179" s="17">
        <f t="shared" si="27"/>
        <v>1111.9970682260268</v>
      </c>
      <c r="W179" s="16">
        <f t="shared" si="27"/>
        <v>1167.5969216373283</v>
      </c>
      <c r="X179" s="17">
        <f t="shared" si="27"/>
        <v>1225.9767677191946</v>
      </c>
      <c r="Y179" s="16">
        <f t="shared" si="27"/>
        <v>1287.2756061051543</v>
      </c>
      <c r="Z179" s="18">
        <f t="shared" si="27"/>
        <v>1351.639386410412</v>
      </c>
    </row>
    <row r="180" spans="1:26" x14ac:dyDescent="0.2">
      <c r="A180" s="23">
        <v>40118</v>
      </c>
      <c r="B180" s="71">
        <v>419.1</v>
      </c>
      <c r="C180" s="10">
        <f t="shared" si="28"/>
        <v>440.05500000000001</v>
      </c>
      <c r="D180" s="69">
        <f t="shared" si="28"/>
        <v>462.05775</v>
      </c>
      <c r="E180" s="10">
        <f t="shared" si="28"/>
        <v>485.16063750000001</v>
      </c>
      <c r="F180" s="69">
        <f t="shared" si="28"/>
        <v>509.41866937500004</v>
      </c>
      <c r="G180" s="70">
        <f t="shared" si="28"/>
        <v>534.88960284375003</v>
      </c>
      <c r="H180" s="71">
        <f t="shared" si="28"/>
        <v>561.63408298593754</v>
      </c>
      <c r="I180" s="10">
        <f t="shared" si="28"/>
        <v>589.71578713523445</v>
      </c>
      <c r="J180" s="69">
        <f t="shared" si="28"/>
        <v>619.20157649199621</v>
      </c>
      <c r="K180" s="10">
        <f t="shared" si="28"/>
        <v>650.16165531659601</v>
      </c>
      <c r="L180" s="69">
        <f t="shared" si="28"/>
        <v>682.66973808242585</v>
      </c>
      <c r="M180" s="70">
        <f t="shared" si="28"/>
        <v>716.80322498654709</v>
      </c>
      <c r="N180" s="71">
        <f t="shared" si="28"/>
        <v>752.64338623587446</v>
      </c>
      <c r="O180" s="10">
        <f t="shared" si="28"/>
        <v>790.2755555476682</v>
      </c>
      <c r="P180" s="69">
        <f t="shared" si="28"/>
        <v>829.78933332505164</v>
      </c>
      <c r="Q180" s="10">
        <f t="shared" si="28"/>
        <v>871.27879999130425</v>
      </c>
      <c r="R180" s="69">
        <f t="shared" si="28"/>
        <v>914.84273999086952</v>
      </c>
      <c r="S180" s="70">
        <f t="shared" ref="R180:Z195" si="29">(R180*0.05)+R180</f>
        <v>960.58487699041302</v>
      </c>
      <c r="T180" s="15">
        <f t="shared" si="29"/>
        <v>1008.6141208399337</v>
      </c>
      <c r="U180" s="16">
        <f t="shared" si="29"/>
        <v>1059.0448268819302</v>
      </c>
      <c r="V180" s="17">
        <f t="shared" si="29"/>
        <v>1111.9970682260268</v>
      </c>
      <c r="W180" s="16">
        <f t="shared" si="29"/>
        <v>1167.5969216373283</v>
      </c>
      <c r="X180" s="17">
        <f t="shared" si="29"/>
        <v>1225.9767677191946</v>
      </c>
      <c r="Y180" s="16">
        <f t="shared" si="29"/>
        <v>1287.2756061051543</v>
      </c>
      <c r="Z180" s="18">
        <f t="shared" si="29"/>
        <v>1351.639386410412</v>
      </c>
    </row>
    <row r="181" spans="1:26" x14ac:dyDescent="0.2">
      <c r="A181" s="23">
        <v>40148</v>
      </c>
      <c r="B181" s="71">
        <v>419.1</v>
      </c>
      <c r="C181" s="10">
        <f t="shared" ref="C181:R196" si="30">(B181*0.05)+B181</f>
        <v>440.05500000000001</v>
      </c>
      <c r="D181" s="69">
        <f t="shared" si="30"/>
        <v>462.05775</v>
      </c>
      <c r="E181" s="10">
        <f t="shared" si="30"/>
        <v>485.16063750000001</v>
      </c>
      <c r="F181" s="69">
        <f t="shared" si="30"/>
        <v>509.41866937500004</v>
      </c>
      <c r="G181" s="70">
        <f t="shared" si="30"/>
        <v>534.88960284375003</v>
      </c>
      <c r="H181" s="71">
        <f t="shared" si="30"/>
        <v>561.63408298593754</v>
      </c>
      <c r="I181" s="10">
        <f t="shared" si="30"/>
        <v>589.71578713523445</v>
      </c>
      <c r="J181" s="69">
        <f t="shared" si="30"/>
        <v>619.20157649199621</v>
      </c>
      <c r="K181" s="10">
        <f t="shared" si="30"/>
        <v>650.16165531659601</v>
      </c>
      <c r="L181" s="69">
        <f t="shared" si="30"/>
        <v>682.66973808242585</v>
      </c>
      <c r="M181" s="70">
        <f t="shared" si="30"/>
        <v>716.80322498654709</v>
      </c>
      <c r="N181" s="71">
        <f t="shared" si="30"/>
        <v>752.64338623587446</v>
      </c>
      <c r="O181" s="10">
        <f t="shared" si="30"/>
        <v>790.2755555476682</v>
      </c>
      <c r="P181" s="69">
        <f t="shared" si="30"/>
        <v>829.78933332505164</v>
      </c>
      <c r="Q181" s="10">
        <f t="shared" si="30"/>
        <v>871.27879999130425</v>
      </c>
      <c r="R181" s="69">
        <f t="shared" si="30"/>
        <v>914.84273999086952</v>
      </c>
      <c r="S181" s="70">
        <f t="shared" si="29"/>
        <v>960.58487699041302</v>
      </c>
      <c r="T181" s="15">
        <f t="shared" si="29"/>
        <v>1008.6141208399337</v>
      </c>
      <c r="U181" s="16">
        <f t="shared" si="29"/>
        <v>1059.0448268819302</v>
      </c>
      <c r="V181" s="17">
        <f t="shared" si="29"/>
        <v>1111.9970682260268</v>
      </c>
      <c r="W181" s="16">
        <f t="shared" si="29"/>
        <v>1167.5969216373283</v>
      </c>
      <c r="X181" s="17">
        <f t="shared" si="29"/>
        <v>1225.9767677191946</v>
      </c>
      <c r="Y181" s="16">
        <f t="shared" si="29"/>
        <v>1287.2756061051543</v>
      </c>
      <c r="Z181" s="18">
        <f t="shared" si="29"/>
        <v>1351.639386410412</v>
      </c>
    </row>
    <row r="182" spans="1:26" x14ac:dyDescent="0.2">
      <c r="A182" s="23">
        <v>40179</v>
      </c>
      <c r="B182" s="71">
        <v>427.48</v>
      </c>
      <c r="C182" s="10">
        <f t="shared" si="30"/>
        <v>448.85400000000004</v>
      </c>
      <c r="D182" s="69">
        <f t="shared" si="30"/>
        <v>471.29670000000004</v>
      </c>
      <c r="E182" s="10">
        <f t="shared" si="30"/>
        <v>494.86153500000006</v>
      </c>
      <c r="F182" s="69">
        <f t="shared" si="30"/>
        <v>519.60461175000012</v>
      </c>
      <c r="G182" s="70">
        <f t="shared" si="30"/>
        <v>545.58484233750016</v>
      </c>
      <c r="H182" s="71">
        <f t="shared" si="30"/>
        <v>572.86408445437519</v>
      </c>
      <c r="I182" s="10">
        <f t="shared" si="30"/>
        <v>601.50728867709392</v>
      </c>
      <c r="J182" s="69">
        <f t="shared" si="30"/>
        <v>631.58265311094863</v>
      </c>
      <c r="K182" s="10">
        <f t="shared" si="30"/>
        <v>663.16178576649611</v>
      </c>
      <c r="L182" s="69">
        <f t="shared" si="30"/>
        <v>696.31987505482095</v>
      </c>
      <c r="M182" s="70">
        <f t="shared" si="30"/>
        <v>731.13586880756202</v>
      </c>
      <c r="N182" s="71">
        <f t="shared" si="30"/>
        <v>767.69266224794012</v>
      </c>
      <c r="O182" s="10">
        <f t="shared" si="30"/>
        <v>806.07729536033708</v>
      </c>
      <c r="P182" s="69">
        <f t="shared" si="30"/>
        <v>846.38116012835394</v>
      </c>
      <c r="Q182" s="10">
        <f t="shared" si="30"/>
        <v>888.7002181347716</v>
      </c>
      <c r="R182" s="69">
        <f t="shared" si="30"/>
        <v>933.13522904151023</v>
      </c>
      <c r="S182" s="70">
        <f t="shared" si="29"/>
        <v>979.79199049358579</v>
      </c>
      <c r="T182" s="15">
        <f t="shared" si="29"/>
        <v>1028.781590018265</v>
      </c>
      <c r="U182" s="16">
        <f t="shared" si="29"/>
        <v>1080.2206695191783</v>
      </c>
      <c r="V182" s="17">
        <f t="shared" si="29"/>
        <v>1134.2317029951371</v>
      </c>
      <c r="W182" s="16">
        <f t="shared" si="29"/>
        <v>1190.943288144894</v>
      </c>
      <c r="X182" s="17">
        <f t="shared" si="29"/>
        <v>1250.4904525521388</v>
      </c>
      <c r="Y182" s="16">
        <f t="shared" si="29"/>
        <v>1313.0149751797458</v>
      </c>
      <c r="Z182" s="18">
        <f t="shared" si="29"/>
        <v>1378.665723938733</v>
      </c>
    </row>
    <row r="183" spans="1:26" x14ac:dyDescent="0.2">
      <c r="A183" s="23">
        <v>40210</v>
      </c>
      <c r="B183" s="71">
        <v>427.48</v>
      </c>
      <c r="C183" s="10">
        <f t="shared" si="30"/>
        <v>448.85400000000004</v>
      </c>
      <c r="D183" s="69">
        <f t="shared" si="30"/>
        <v>471.29670000000004</v>
      </c>
      <c r="E183" s="10">
        <f t="shared" si="30"/>
        <v>494.86153500000006</v>
      </c>
      <c r="F183" s="69">
        <f t="shared" si="30"/>
        <v>519.60461175000012</v>
      </c>
      <c r="G183" s="70">
        <f t="shared" si="30"/>
        <v>545.58484233750016</v>
      </c>
      <c r="H183" s="71">
        <f t="shared" si="30"/>
        <v>572.86408445437519</v>
      </c>
      <c r="I183" s="10">
        <f t="shared" si="30"/>
        <v>601.50728867709392</v>
      </c>
      <c r="J183" s="69">
        <f t="shared" si="30"/>
        <v>631.58265311094863</v>
      </c>
      <c r="K183" s="10">
        <f t="shared" si="30"/>
        <v>663.16178576649611</v>
      </c>
      <c r="L183" s="69">
        <f t="shared" si="30"/>
        <v>696.31987505482095</v>
      </c>
      <c r="M183" s="70">
        <f t="shared" si="30"/>
        <v>731.13586880756202</v>
      </c>
      <c r="N183" s="71">
        <f t="shared" si="30"/>
        <v>767.69266224794012</v>
      </c>
      <c r="O183" s="10">
        <f t="shared" si="30"/>
        <v>806.07729536033708</v>
      </c>
      <c r="P183" s="69">
        <f t="shared" si="30"/>
        <v>846.38116012835394</v>
      </c>
      <c r="Q183" s="10">
        <f t="shared" si="30"/>
        <v>888.7002181347716</v>
      </c>
      <c r="R183" s="69">
        <f t="shared" si="30"/>
        <v>933.13522904151023</v>
      </c>
      <c r="S183" s="70">
        <f t="shared" si="29"/>
        <v>979.79199049358579</v>
      </c>
      <c r="T183" s="15">
        <f t="shared" si="29"/>
        <v>1028.781590018265</v>
      </c>
      <c r="U183" s="16">
        <f t="shared" si="29"/>
        <v>1080.2206695191783</v>
      </c>
      <c r="V183" s="17">
        <f t="shared" si="29"/>
        <v>1134.2317029951371</v>
      </c>
      <c r="W183" s="16">
        <f t="shared" si="29"/>
        <v>1190.943288144894</v>
      </c>
      <c r="X183" s="17">
        <f t="shared" si="29"/>
        <v>1250.4904525521388</v>
      </c>
      <c r="Y183" s="16">
        <f t="shared" si="29"/>
        <v>1313.0149751797458</v>
      </c>
      <c r="Z183" s="18">
        <f t="shared" si="29"/>
        <v>1378.665723938733</v>
      </c>
    </row>
    <row r="184" spans="1:26" x14ac:dyDescent="0.2">
      <c r="A184" s="23">
        <v>40238</v>
      </c>
      <c r="B184" s="71">
        <v>427.48</v>
      </c>
      <c r="C184" s="10">
        <f t="shared" si="30"/>
        <v>448.85400000000004</v>
      </c>
      <c r="D184" s="69">
        <f t="shared" si="30"/>
        <v>471.29670000000004</v>
      </c>
      <c r="E184" s="10">
        <f t="shared" si="30"/>
        <v>494.86153500000006</v>
      </c>
      <c r="F184" s="69">
        <f t="shared" si="30"/>
        <v>519.60461175000012</v>
      </c>
      <c r="G184" s="70">
        <f t="shared" si="30"/>
        <v>545.58484233750016</v>
      </c>
      <c r="H184" s="71">
        <f t="shared" si="30"/>
        <v>572.86408445437519</v>
      </c>
      <c r="I184" s="10">
        <f t="shared" si="30"/>
        <v>601.50728867709392</v>
      </c>
      <c r="J184" s="69">
        <f t="shared" si="30"/>
        <v>631.58265311094863</v>
      </c>
      <c r="K184" s="10">
        <f t="shared" si="30"/>
        <v>663.16178576649611</v>
      </c>
      <c r="L184" s="69">
        <f t="shared" si="30"/>
        <v>696.31987505482095</v>
      </c>
      <c r="M184" s="70">
        <f t="shared" si="30"/>
        <v>731.13586880756202</v>
      </c>
      <c r="N184" s="71">
        <f t="shared" si="30"/>
        <v>767.69266224794012</v>
      </c>
      <c r="O184" s="10">
        <f t="shared" si="30"/>
        <v>806.07729536033708</v>
      </c>
      <c r="P184" s="69">
        <f t="shared" si="30"/>
        <v>846.38116012835394</v>
      </c>
      <c r="Q184" s="10">
        <f t="shared" si="30"/>
        <v>888.7002181347716</v>
      </c>
      <c r="R184" s="69">
        <f t="shared" si="30"/>
        <v>933.13522904151023</v>
      </c>
      <c r="S184" s="70">
        <f t="shared" si="29"/>
        <v>979.79199049358579</v>
      </c>
      <c r="T184" s="15">
        <f t="shared" si="29"/>
        <v>1028.781590018265</v>
      </c>
      <c r="U184" s="16">
        <f t="shared" si="29"/>
        <v>1080.2206695191783</v>
      </c>
      <c r="V184" s="17">
        <f t="shared" si="29"/>
        <v>1134.2317029951371</v>
      </c>
      <c r="W184" s="16">
        <f t="shared" si="29"/>
        <v>1190.943288144894</v>
      </c>
      <c r="X184" s="17">
        <f t="shared" si="29"/>
        <v>1250.4904525521388</v>
      </c>
      <c r="Y184" s="16">
        <f t="shared" si="29"/>
        <v>1313.0149751797458</v>
      </c>
      <c r="Z184" s="18">
        <f t="shared" si="29"/>
        <v>1378.665723938733</v>
      </c>
    </row>
    <row r="185" spans="1:26" x14ac:dyDescent="0.2">
      <c r="A185" s="23">
        <v>40269</v>
      </c>
      <c r="B185" s="71">
        <v>427.48</v>
      </c>
      <c r="C185" s="10">
        <f t="shared" si="30"/>
        <v>448.85400000000004</v>
      </c>
      <c r="D185" s="69">
        <f t="shared" si="30"/>
        <v>471.29670000000004</v>
      </c>
      <c r="E185" s="10">
        <f t="shared" si="30"/>
        <v>494.86153500000006</v>
      </c>
      <c r="F185" s="69">
        <f t="shared" si="30"/>
        <v>519.60461175000012</v>
      </c>
      <c r="G185" s="70">
        <f t="shared" si="30"/>
        <v>545.58484233750016</v>
      </c>
      <c r="H185" s="71">
        <f t="shared" si="30"/>
        <v>572.86408445437519</v>
      </c>
      <c r="I185" s="10">
        <f t="shared" si="30"/>
        <v>601.50728867709392</v>
      </c>
      <c r="J185" s="69">
        <f t="shared" si="30"/>
        <v>631.58265311094863</v>
      </c>
      <c r="K185" s="10">
        <f t="shared" si="30"/>
        <v>663.16178576649611</v>
      </c>
      <c r="L185" s="69">
        <f t="shared" si="30"/>
        <v>696.31987505482095</v>
      </c>
      <c r="M185" s="70">
        <f t="shared" si="30"/>
        <v>731.13586880756202</v>
      </c>
      <c r="N185" s="71">
        <f t="shared" si="30"/>
        <v>767.69266224794012</v>
      </c>
      <c r="O185" s="10">
        <f t="shared" si="30"/>
        <v>806.07729536033708</v>
      </c>
      <c r="P185" s="69">
        <f t="shared" si="30"/>
        <v>846.38116012835394</v>
      </c>
      <c r="Q185" s="10">
        <f t="shared" si="30"/>
        <v>888.7002181347716</v>
      </c>
      <c r="R185" s="69">
        <f t="shared" si="30"/>
        <v>933.13522904151023</v>
      </c>
      <c r="S185" s="70">
        <f t="shared" si="29"/>
        <v>979.79199049358579</v>
      </c>
      <c r="T185" s="15">
        <f t="shared" si="29"/>
        <v>1028.781590018265</v>
      </c>
      <c r="U185" s="16">
        <f t="shared" si="29"/>
        <v>1080.2206695191783</v>
      </c>
      <c r="V185" s="17">
        <f t="shared" si="29"/>
        <v>1134.2317029951371</v>
      </c>
      <c r="W185" s="16">
        <f t="shared" si="29"/>
        <v>1190.943288144894</v>
      </c>
      <c r="X185" s="17">
        <f t="shared" si="29"/>
        <v>1250.4904525521388</v>
      </c>
      <c r="Y185" s="16">
        <f t="shared" si="29"/>
        <v>1313.0149751797458</v>
      </c>
      <c r="Z185" s="18">
        <f t="shared" si="29"/>
        <v>1378.665723938733</v>
      </c>
    </row>
    <row r="186" spans="1:26" x14ac:dyDescent="0.2">
      <c r="A186" s="23">
        <v>40299</v>
      </c>
      <c r="B186" s="71">
        <v>427.48</v>
      </c>
      <c r="C186" s="10">
        <f t="shared" si="30"/>
        <v>448.85400000000004</v>
      </c>
      <c r="D186" s="69">
        <f t="shared" si="30"/>
        <v>471.29670000000004</v>
      </c>
      <c r="E186" s="10">
        <f t="shared" si="30"/>
        <v>494.86153500000006</v>
      </c>
      <c r="F186" s="69">
        <f t="shared" si="30"/>
        <v>519.60461175000012</v>
      </c>
      <c r="G186" s="70">
        <f t="shared" si="30"/>
        <v>545.58484233750016</v>
      </c>
      <c r="H186" s="71">
        <f t="shared" si="30"/>
        <v>572.86408445437519</v>
      </c>
      <c r="I186" s="10">
        <f t="shared" si="30"/>
        <v>601.50728867709392</v>
      </c>
      <c r="J186" s="69">
        <f t="shared" si="30"/>
        <v>631.58265311094863</v>
      </c>
      <c r="K186" s="10">
        <f t="shared" si="30"/>
        <v>663.16178576649611</v>
      </c>
      <c r="L186" s="69">
        <f t="shared" si="30"/>
        <v>696.31987505482095</v>
      </c>
      <c r="M186" s="70">
        <f t="shared" si="30"/>
        <v>731.13586880756202</v>
      </c>
      <c r="N186" s="71">
        <f t="shared" si="30"/>
        <v>767.69266224794012</v>
      </c>
      <c r="O186" s="10">
        <f t="shared" si="30"/>
        <v>806.07729536033708</v>
      </c>
      <c r="P186" s="69">
        <f t="shared" si="30"/>
        <v>846.38116012835394</v>
      </c>
      <c r="Q186" s="10">
        <f t="shared" si="30"/>
        <v>888.7002181347716</v>
      </c>
      <c r="R186" s="69">
        <f t="shared" si="30"/>
        <v>933.13522904151023</v>
      </c>
      <c r="S186" s="70">
        <f t="shared" si="29"/>
        <v>979.79199049358579</v>
      </c>
      <c r="T186" s="15">
        <f t="shared" si="29"/>
        <v>1028.781590018265</v>
      </c>
      <c r="U186" s="16">
        <f t="shared" si="29"/>
        <v>1080.2206695191783</v>
      </c>
      <c r="V186" s="17">
        <f t="shared" si="29"/>
        <v>1134.2317029951371</v>
      </c>
      <c r="W186" s="16">
        <f t="shared" si="29"/>
        <v>1190.943288144894</v>
      </c>
      <c r="X186" s="17">
        <f t="shared" si="29"/>
        <v>1250.4904525521388</v>
      </c>
      <c r="Y186" s="16">
        <f t="shared" si="29"/>
        <v>1313.0149751797458</v>
      </c>
      <c r="Z186" s="18">
        <f t="shared" si="29"/>
        <v>1378.665723938733</v>
      </c>
    </row>
    <row r="187" spans="1:26" x14ac:dyDescent="0.2">
      <c r="A187" s="23">
        <v>40330</v>
      </c>
      <c r="B187" s="71">
        <v>427.48</v>
      </c>
      <c r="C187" s="10">
        <f t="shared" si="30"/>
        <v>448.85400000000004</v>
      </c>
      <c r="D187" s="69">
        <f t="shared" si="30"/>
        <v>471.29670000000004</v>
      </c>
      <c r="E187" s="10">
        <f t="shared" si="30"/>
        <v>494.86153500000006</v>
      </c>
      <c r="F187" s="69">
        <f t="shared" si="30"/>
        <v>519.60461175000012</v>
      </c>
      <c r="G187" s="70">
        <f t="shared" si="30"/>
        <v>545.58484233750016</v>
      </c>
      <c r="H187" s="71">
        <f t="shared" si="30"/>
        <v>572.86408445437519</v>
      </c>
      <c r="I187" s="10">
        <f t="shared" si="30"/>
        <v>601.50728867709392</v>
      </c>
      <c r="J187" s="69">
        <f t="shared" si="30"/>
        <v>631.58265311094863</v>
      </c>
      <c r="K187" s="10">
        <f t="shared" si="30"/>
        <v>663.16178576649611</v>
      </c>
      <c r="L187" s="69">
        <f t="shared" si="30"/>
        <v>696.31987505482095</v>
      </c>
      <c r="M187" s="70">
        <f t="shared" si="30"/>
        <v>731.13586880756202</v>
      </c>
      <c r="N187" s="71">
        <f t="shared" si="30"/>
        <v>767.69266224794012</v>
      </c>
      <c r="O187" s="10">
        <f t="shared" si="30"/>
        <v>806.07729536033708</v>
      </c>
      <c r="P187" s="69">
        <f t="shared" si="30"/>
        <v>846.38116012835394</v>
      </c>
      <c r="Q187" s="10">
        <f t="shared" si="30"/>
        <v>888.7002181347716</v>
      </c>
      <c r="R187" s="69">
        <f t="shared" si="29"/>
        <v>933.13522904151023</v>
      </c>
      <c r="S187" s="70">
        <f t="shared" si="29"/>
        <v>979.79199049358579</v>
      </c>
      <c r="T187" s="15">
        <f t="shared" si="29"/>
        <v>1028.781590018265</v>
      </c>
      <c r="U187" s="16">
        <f t="shared" si="29"/>
        <v>1080.2206695191783</v>
      </c>
      <c r="V187" s="17">
        <f t="shared" si="29"/>
        <v>1134.2317029951371</v>
      </c>
      <c r="W187" s="16">
        <f t="shared" si="29"/>
        <v>1190.943288144894</v>
      </c>
      <c r="X187" s="17">
        <f t="shared" si="29"/>
        <v>1250.4904525521388</v>
      </c>
      <c r="Y187" s="16">
        <f t="shared" si="29"/>
        <v>1313.0149751797458</v>
      </c>
      <c r="Z187" s="18">
        <f t="shared" si="29"/>
        <v>1378.665723938733</v>
      </c>
    </row>
    <row r="188" spans="1:26" x14ac:dyDescent="0.2">
      <c r="A188" s="23">
        <v>40360</v>
      </c>
      <c r="B188" s="71">
        <v>427.48</v>
      </c>
      <c r="C188" s="10">
        <f t="shared" si="30"/>
        <v>448.85400000000004</v>
      </c>
      <c r="D188" s="69">
        <f t="shared" si="30"/>
        <v>471.29670000000004</v>
      </c>
      <c r="E188" s="10">
        <f t="shared" si="30"/>
        <v>494.86153500000006</v>
      </c>
      <c r="F188" s="69">
        <f t="shared" si="30"/>
        <v>519.60461175000012</v>
      </c>
      <c r="G188" s="70">
        <f t="shared" si="30"/>
        <v>545.58484233750016</v>
      </c>
      <c r="H188" s="71">
        <f t="shared" si="30"/>
        <v>572.86408445437519</v>
      </c>
      <c r="I188" s="10">
        <f t="shared" si="30"/>
        <v>601.50728867709392</v>
      </c>
      <c r="J188" s="69">
        <f t="shared" si="30"/>
        <v>631.58265311094863</v>
      </c>
      <c r="K188" s="10">
        <f t="shared" si="30"/>
        <v>663.16178576649611</v>
      </c>
      <c r="L188" s="69">
        <f t="shared" si="30"/>
        <v>696.31987505482095</v>
      </c>
      <c r="M188" s="70">
        <f t="shared" si="30"/>
        <v>731.13586880756202</v>
      </c>
      <c r="N188" s="71">
        <f t="shared" si="30"/>
        <v>767.69266224794012</v>
      </c>
      <c r="O188" s="10">
        <f t="shared" si="30"/>
        <v>806.07729536033708</v>
      </c>
      <c r="P188" s="69">
        <f t="shared" si="30"/>
        <v>846.38116012835394</v>
      </c>
      <c r="Q188" s="10">
        <f t="shared" si="30"/>
        <v>888.7002181347716</v>
      </c>
      <c r="R188" s="69">
        <f t="shared" si="29"/>
        <v>933.13522904151023</v>
      </c>
      <c r="S188" s="70">
        <f t="shared" si="29"/>
        <v>979.79199049358579</v>
      </c>
      <c r="T188" s="15">
        <f t="shared" si="29"/>
        <v>1028.781590018265</v>
      </c>
      <c r="U188" s="16">
        <f t="shared" si="29"/>
        <v>1080.2206695191783</v>
      </c>
      <c r="V188" s="17">
        <f t="shared" si="29"/>
        <v>1134.2317029951371</v>
      </c>
      <c r="W188" s="16">
        <f t="shared" si="29"/>
        <v>1190.943288144894</v>
      </c>
      <c r="X188" s="17">
        <f t="shared" si="29"/>
        <v>1250.4904525521388</v>
      </c>
      <c r="Y188" s="16">
        <f t="shared" si="29"/>
        <v>1313.0149751797458</v>
      </c>
      <c r="Z188" s="18">
        <f t="shared" si="29"/>
        <v>1378.665723938733</v>
      </c>
    </row>
    <row r="189" spans="1:26" x14ac:dyDescent="0.2">
      <c r="A189" s="23">
        <v>40391</v>
      </c>
      <c r="B189" s="71">
        <v>427.48</v>
      </c>
      <c r="C189" s="10">
        <f t="shared" si="30"/>
        <v>448.85400000000004</v>
      </c>
      <c r="D189" s="69">
        <f t="shared" si="30"/>
        <v>471.29670000000004</v>
      </c>
      <c r="E189" s="10">
        <f t="shared" si="30"/>
        <v>494.86153500000006</v>
      </c>
      <c r="F189" s="69">
        <f t="shared" si="30"/>
        <v>519.60461175000012</v>
      </c>
      <c r="G189" s="70">
        <f t="shared" si="30"/>
        <v>545.58484233750016</v>
      </c>
      <c r="H189" s="71">
        <f t="shared" si="30"/>
        <v>572.86408445437519</v>
      </c>
      <c r="I189" s="10">
        <f t="shared" si="30"/>
        <v>601.50728867709392</v>
      </c>
      <c r="J189" s="69">
        <f t="shared" si="30"/>
        <v>631.58265311094863</v>
      </c>
      <c r="K189" s="10">
        <f t="shared" si="30"/>
        <v>663.16178576649611</v>
      </c>
      <c r="L189" s="69">
        <f t="shared" si="30"/>
        <v>696.31987505482095</v>
      </c>
      <c r="M189" s="70">
        <f t="shared" si="30"/>
        <v>731.13586880756202</v>
      </c>
      <c r="N189" s="71">
        <f t="shared" si="30"/>
        <v>767.69266224794012</v>
      </c>
      <c r="O189" s="10">
        <f t="shared" si="30"/>
        <v>806.07729536033708</v>
      </c>
      <c r="P189" s="69">
        <f t="shared" si="30"/>
        <v>846.38116012835394</v>
      </c>
      <c r="Q189" s="10">
        <f t="shared" si="30"/>
        <v>888.7002181347716</v>
      </c>
      <c r="R189" s="69">
        <f t="shared" si="29"/>
        <v>933.13522904151023</v>
      </c>
      <c r="S189" s="70">
        <f t="shared" si="29"/>
        <v>979.79199049358579</v>
      </c>
      <c r="T189" s="15">
        <f t="shared" si="29"/>
        <v>1028.781590018265</v>
      </c>
      <c r="U189" s="16">
        <f t="shared" si="29"/>
        <v>1080.2206695191783</v>
      </c>
      <c r="V189" s="17">
        <f t="shared" si="29"/>
        <v>1134.2317029951371</v>
      </c>
      <c r="W189" s="16">
        <f t="shared" si="29"/>
        <v>1190.943288144894</v>
      </c>
      <c r="X189" s="17">
        <f t="shared" si="29"/>
        <v>1250.4904525521388</v>
      </c>
      <c r="Y189" s="16">
        <f t="shared" si="29"/>
        <v>1313.0149751797458</v>
      </c>
      <c r="Z189" s="18">
        <f t="shared" si="29"/>
        <v>1378.665723938733</v>
      </c>
    </row>
    <row r="190" spans="1:26" x14ac:dyDescent="0.2">
      <c r="A190" s="23">
        <v>40422</v>
      </c>
      <c r="B190" s="71">
        <v>427.48</v>
      </c>
      <c r="C190" s="10">
        <f t="shared" si="30"/>
        <v>448.85400000000004</v>
      </c>
      <c r="D190" s="69">
        <f t="shared" si="30"/>
        <v>471.29670000000004</v>
      </c>
      <c r="E190" s="10">
        <f t="shared" si="30"/>
        <v>494.86153500000006</v>
      </c>
      <c r="F190" s="69">
        <f t="shared" si="30"/>
        <v>519.60461175000012</v>
      </c>
      <c r="G190" s="70">
        <f t="shared" si="30"/>
        <v>545.58484233750016</v>
      </c>
      <c r="H190" s="71">
        <f t="shared" si="30"/>
        <v>572.86408445437519</v>
      </c>
      <c r="I190" s="10">
        <f t="shared" si="30"/>
        <v>601.50728867709392</v>
      </c>
      <c r="J190" s="69">
        <f t="shared" si="30"/>
        <v>631.58265311094863</v>
      </c>
      <c r="K190" s="10">
        <f t="shared" si="30"/>
        <v>663.16178576649611</v>
      </c>
      <c r="L190" s="69">
        <f t="shared" si="30"/>
        <v>696.31987505482095</v>
      </c>
      <c r="M190" s="70">
        <f t="shared" si="30"/>
        <v>731.13586880756202</v>
      </c>
      <c r="N190" s="71">
        <f t="shared" si="30"/>
        <v>767.69266224794012</v>
      </c>
      <c r="O190" s="10">
        <f t="shared" si="30"/>
        <v>806.07729536033708</v>
      </c>
      <c r="P190" s="69">
        <f t="shared" si="30"/>
        <v>846.38116012835394</v>
      </c>
      <c r="Q190" s="10">
        <f t="shared" si="30"/>
        <v>888.7002181347716</v>
      </c>
      <c r="R190" s="69">
        <f t="shared" si="29"/>
        <v>933.13522904151023</v>
      </c>
      <c r="S190" s="70">
        <f t="shared" si="29"/>
        <v>979.79199049358579</v>
      </c>
      <c r="T190" s="15">
        <f t="shared" si="29"/>
        <v>1028.781590018265</v>
      </c>
      <c r="U190" s="16">
        <f t="shared" si="29"/>
        <v>1080.2206695191783</v>
      </c>
      <c r="V190" s="17">
        <f t="shared" si="29"/>
        <v>1134.2317029951371</v>
      </c>
      <c r="W190" s="16">
        <f t="shared" si="29"/>
        <v>1190.943288144894</v>
      </c>
      <c r="X190" s="17">
        <f t="shared" si="29"/>
        <v>1250.4904525521388</v>
      </c>
      <c r="Y190" s="16">
        <f t="shared" si="29"/>
        <v>1313.0149751797458</v>
      </c>
      <c r="Z190" s="18">
        <f t="shared" si="29"/>
        <v>1378.665723938733</v>
      </c>
    </row>
    <row r="191" spans="1:26" x14ac:dyDescent="0.2">
      <c r="A191" s="23">
        <v>40452</v>
      </c>
      <c r="B191" s="71">
        <v>427.48</v>
      </c>
      <c r="C191" s="10">
        <f t="shared" si="30"/>
        <v>448.85400000000004</v>
      </c>
      <c r="D191" s="69">
        <f t="shared" si="30"/>
        <v>471.29670000000004</v>
      </c>
      <c r="E191" s="10">
        <f t="shared" si="30"/>
        <v>494.86153500000006</v>
      </c>
      <c r="F191" s="69">
        <f t="shared" si="30"/>
        <v>519.60461175000012</v>
      </c>
      <c r="G191" s="70">
        <f t="shared" si="30"/>
        <v>545.58484233750016</v>
      </c>
      <c r="H191" s="71">
        <f t="shared" si="30"/>
        <v>572.86408445437519</v>
      </c>
      <c r="I191" s="10">
        <f t="shared" si="30"/>
        <v>601.50728867709392</v>
      </c>
      <c r="J191" s="69">
        <f t="shared" si="30"/>
        <v>631.58265311094863</v>
      </c>
      <c r="K191" s="10">
        <f t="shared" si="30"/>
        <v>663.16178576649611</v>
      </c>
      <c r="L191" s="69">
        <f t="shared" si="30"/>
        <v>696.31987505482095</v>
      </c>
      <c r="M191" s="70">
        <f t="shared" si="30"/>
        <v>731.13586880756202</v>
      </c>
      <c r="N191" s="71">
        <f t="shared" si="30"/>
        <v>767.69266224794012</v>
      </c>
      <c r="O191" s="10">
        <f t="shared" si="30"/>
        <v>806.07729536033708</v>
      </c>
      <c r="P191" s="69">
        <f t="shared" si="30"/>
        <v>846.38116012835394</v>
      </c>
      <c r="Q191" s="10">
        <f t="shared" si="30"/>
        <v>888.7002181347716</v>
      </c>
      <c r="R191" s="69">
        <f t="shared" si="29"/>
        <v>933.13522904151023</v>
      </c>
      <c r="S191" s="70">
        <f t="shared" si="29"/>
        <v>979.79199049358579</v>
      </c>
      <c r="T191" s="15">
        <f t="shared" si="29"/>
        <v>1028.781590018265</v>
      </c>
      <c r="U191" s="16">
        <f t="shared" si="29"/>
        <v>1080.2206695191783</v>
      </c>
      <c r="V191" s="17">
        <f t="shared" si="29"/>
        <v>1134.2317029951371</v>
      </c>
      <c r="W191" s="16">
        <f t="shared" si="29"/>
        <v>1190.943288144894</v>
      </c>
      <c r="X191" s="17">
        <f t="shared" si="29"/>
        <v>1250.4904525521388</v>
      </c>
      <c r="Y191" s="16">
        <f t="shared" si="29"/>
        <v>1313.0149751797458</v>
      </c>
      <c r="Z191" s="18">
        <f t="shared" si="29"/>
        <v>1378.665723938733</v>
      </c>
    </row>
    <row r="192" spans="1:26" x14ac:dyDescent="0.2">
      <c r="A192" s="23">
        <v>40483</v>
      </c>
      <c r="B192" s="71">
        <v>427.48</v>
      </c>
      <c r="C192" s="10">
        <f t="shared" si="30"/>
        <v>448.85400000000004</v>
      </c>
      <c r="D192" s="69">
        <f t="shared" si="30"/>
        <v>471.29670000000004</v>
      </c>
      <c r="E192" s="10">
        <f t="shared" si="30"/>
        <v>494.86153500000006</v>
      </c>
      <c r="F192" s="69">
        <f t="shared" si="30"/>
        <v>519.60461175000012</v>
      </c>
      <c r="G192" s="70">
        <f t="shared" si="30"/>
        <v>545.58484233750016</v>
      </c>
      <c r="H192" s="71">
        <f t="shared" si="30"/>
        <v>572.86408445437519</v>
      </c>
      <c r="I192" s="10">
        <f t="shared" si="30"/>
        <v>601.50728867709392</v>
      </c>
      <c r="J192" s="69">
        <f t="shared" si="30"/>
        <v>631.58265311094863</v>
      </c>
      <c r="K192" s="10">
        <f t="shared" si="30"/>
        <v>663.16178576649611</v>
      </c>
      <c r="L192" s="69">
        <f t="shared" si="30"/>
        <v>696.31987505482095</v>
      </c>
      <c r="M192" s="70">
        <f t="shared" si="30"/>
        <v>731.13586880756202</v>
      </c>
      <c r="N192" s="71">
        <f t="shared" si="30"/>
        <v>767.69266224794012</v>
      </c>
      <c r="O192" s="10">
        <f t="shared" si="30"/>
        <v>806.07729536033708</v>
      </c>
      <c r="P192" s="69">
        <f t="shared" si="30"/>
        <v>846.38116012835394</v>
      </c>
      <c r="Q192" s="10">
        <f t="shared" si="30"/>
        <v>888.7002181347716</v>
      </c>
      <c r="R192" s="69">
        <f t="shared" si="29"/>
        <v>933.13522904151023</v>
      </c>
      <c r="S192" s="70">
        <f t="shared" si="29"/>
        <v>979.79199049358579</v>
      </c>
      <c r="T192" s="15">
        <f t="shared" si="29"/>
        <v>1028.781590018265</v>
      </c>
      <c r="U192" s="16">
        <f t="shared" si="29"/>
        <v>1080.2206695191783</v>
      </c>
      <c r="V192" s="17">
        <f t="shared" si="29"/>
        <v>1134.2317029951371</v>
      </c>
      <c r="W192" s="16">
        <f t="shared" si="29"/>
        <v>1190.943288144894</v>
      </c>
      <c r="X192" s="17">
        <f t="shared" si="29"/>
        <v>1250.4904525521388</v>
      </c>
      <c r="Y192" s="16">
        <f t="shared" si="29"/>
        <v>1313.0149751797458</v>
      </c>
      <c r="Z192" s="18">
        <f t="shared" si="29"/>
        <v>1378.665723938733</v>
      </c>
    </row>
    <row r="193" spans="1:26" x14ac:dyDescent="0.2">
      <c r="A193" s="23">
        <v>40513</v>
      </c>
      <c r="B193" s="71">
        <v>427.48</v>
      </c>
      <c r="C193" s="10">
        <f t="shared" si="30"/>
        <v>448.85400000000004</v>
      </c>
      <c r="D193" s="69">
        <f t="shared" si="30"/>
        <v>471.29670000000004</v>
      </c>
      <c r="E193" s="10">
        <f t="shared" si="30"/>
        <v>494.86153500000006</v>
      </c>
      <c r="F193" s="69">
        <f t="shared" si="30"/>
        <v>519.60461175000012</v>
      </c>
      <c r="G193" s="70">
        <f t="shared" si="30"/>
        <v>545.58484233750016</v>
      </c>
      <c r="H193" s="71">
        <f t="shared" si="30"/>
        <v>572.86408445437519</v>
      </c>
      <c r="I193" s="10">
        <f t="shared" si="30"/>
        <v>601.50728867709392</v>
      </c>
      <c r="J193" s="69">
        <f t="shared" si="30"/>
        <v>631.58265311094863</v>
      </c>
      <c r="K193" s="10">
        <f t="shared" si="30"/>
        <v>663.16178576649611</v>
      </c>
      <c r="L193" s="69">
        <f t="shared" si="30"/>
        <v>696.31987505482095</v>
      </c>
      <c r="M193" s="70">
        <f t="shared" si="30"/>
        <v>731.13586880756202</v>
      </c>
      <c r="N193" s="71">
        <f t="shared" si="30"/>
        <v>767.69266224794012</v>
      </c>
      <c r="O193" s="10">
        <f t="shared" si="30"/>
        <v>806.07729536033708</v>
      </c>
      <c r="P193" s="69">
        <f t="shared" si="30"/>
        <v>846.38116012835394</v>
      </c>
      <c r="Q193" s="10">
        <f t="shared" si="30"/>
        <v>888.7002181347716</v>
      </c>
      <c r="R193" s="69">
        <f t="shared" si="29"/>
        <v>933.13522904151023</v>
      </c>
      <c r="S193" s="70">
        <f t="shared" si="29"/>
        <v>979.79199049358579</v>
      </c>
      <c r="T193" s="15">
        <f t="shared" si="29"/>
        <v>1028.781590018265</v>
      </c>
      <c r="U193" s="16">
        <f t="shared" si="29"/>
        <v>1080.2206695191783</v>
      </c>
      <c r="V193" s="17">
        <f t="shared" si="29"/>
        <v>1134.2317029951371</v>
      </c>
      <c r="W193" s="16">
        <f t="shared" si="29"/>
        <v>1190.943288144894</v>
      </c>
      <c r="X193" s="17">
        <f t="shared" si="29"/>
        <v>1250.4904525521388</v>
      </c>
      <c r="Y193" s="16">
        <f t="shared" si="29"/>
        <v>1313.0149751797458</v>
      </c>
      <c r="Z193" s="18">
        <f t="shared" si="29"/>
        <v>1378.665723938733</v>
      </c>
    </row>
    <row r="194" spans="1:26" x14ac:dyDescent="0.2">
      <c r="A194" s="23">
        <v>40544</v>
      </c>
      <c r="B194" s="71">
        <v>427.48</v>
      </c>
      <c r="C194" s="10">
        <f t="shared" si="30"/>
        <v>448.85400000000004</v>
      </c>
      <c r="D194" s="69">
        <f t="shared" si="30"/>
        <v>471.29670000000004</v>
      </c>
      <c r="E194" s="10">
        <f t="shared" si="30"/>
        <v>494.86153500000006</v>
      </c>
      <c r="F194" s="69">
        <f t="shared" si="30"/>
        <v>519.60461175000012</v>
      </c>
      <c r="G194" s="70">
        <f t="shared" si="30"/>
        <v>545.58484233750016</v>
      </c>
      <c r="H194" s="71">
        <f t="shared" si="30"/>
        <v>572.86408445437519</v>
      </c>
      <c r="I194" s="10">
        <f t="shared" si="30"/>
        <v>601.50728867709392</v>
      </c>
      <c r="J194" s="69">
        <f t="shared" si="30"/>
        <v>631.58265311094863</v>
      </c>
      <c r="K194" s="10">
        <f t="shared" si="30"/>
        <v>663.16178576649611</v>
      </c>
      <c r="L194" s="69">
        <f t="shared" si="30"/>
        <v>696.31987505482095</v>
      </c>
      <c r="M194" s="70">
        <f t="shared" si="30"/>
        <v>731.13586880756202</v>
      </c>
      <c r="N194" s="71">
        <f t="shared" si="30"/>
        <v>767.69266224794012</v>
      </c>
      <c r="O194" s="10">
        <f t="shared" si="30"/>
        <v>806.07729536033708</v>
      </c>
      <c r="P194" s="69">
        <f t="shared" si="30"/>
        <v>846.38116012835394</v>
      </c>
      <c r="Q194" s="10">
        <f t="shared" si="30"/>
        <v>888.7002181347716</v>
      </c>
      <c r="R194" s="69">
        <f t="shared" si="29"/>
        <v>933.13522904151023</v>
      </c>
      <c r="S194" s="70">
        <f t="shared" si="29"/>
        <v>979.79199049358579</v>
      </c>
      <c r="T194" s="15">
        <f t="shared" si="29"/>
        <v>1028.781590018265</v>
      </c>
      <c r="U194" s="16">
        <f t="shared" si="29"/>
        <v>1080.2206695191783</v>
      </c>
      <c r="V194" s="17">
        <f t="shared" si="29"/>
        <v>1134.2317029951371</v>
      </c>
      <c r="W194" s="16">
        <f t="shared" si="29"/>
        <v>1190.943288144894</v>
      </c>
      <c r="X194" s="17">
        <f t="shared" si="29"/>
        <v>1250.4904525521388</v>
      </c>
      <c r="Y194" s="16">
        <f t="shared" si="29"/>
        <v>1313.0149751797458</v>
      </c>
      <c r="Z194" s="18">
        <f t="shared" si="29"/>
        <v>1378.665723938733</v>
      </c>
    </row>
    <row r="195" spans="1:26" x14ac:dyDescent="0.2">
      <c r="A195" s="23">
        <v>40575</v>
      </c>
      <c r="B195" s="71">
        <v>427.48</v>
      </c>
      <c r="C195" s="10">
        <f t="shared" si="30"/>
        <v>448.85400000000004</v>
      </c>
      <c r="D195" s="69">
        <f t="shared" si="30"/>
        <v>471.29670000000004</v>
      </c>
      <c r="E195" s="10">
        <f t="shared" si="30"/>
        <v>494.86153500000006</v>
      </c>
      <c r="F195" s="69">
        <f t="shared" si="30"/>
        <v>519.60461175000012</v>
      </c>
      <c r="G195" s="70">
        <f t="shared" si="30"/>
        <v>545.58484233750016</v>
      </c>
      <c r="H195" s="71">
        <f t="shared" si="30"/>
        <v>572.86408445437519</v>
      </c>
      <c r="I195" s="10">
        <f t="shared" si="30"/>
        <v>601.50728867709392</v>
      </c>
      <c r="J195" s="69">
        <f t="shared" si="30"/>
        <v>631.58265311094863</v>
      </c>
      <c r="K195" s="10">
        <f t="shared" si="30"/>
        <v>663.16178576649611</v>
      </c>
      <c r="L195" s="69">
        <f t="shared" si="30"/>
        <v>696.31987505482095</v>
      </c>
      <c r="M195" s="70">
        <f t="shared" si="30"/>
        <v>731.13586880756202</v>
      </c>
      <c r="N195" s="71">
        <f t="shared" si="30"/>
        <v>767.69266224794012</v>
      </c>
      <c r="O195" s="10">
        <f t="shared" si="30"/>
        <v>806.07729536033708</v>
      </c>
      <c r="P195" s="69">
        <f t="shared" si="30"/>
        <v>846.38116012835394</v>
      </c>
      <c r="Q195" s="10">
        <f t="shared" si="30"/>
        <v>888.7002181347716</v>
      </c>
      <c r="R195" s="69">
        <f t="shared" si="29"/>
        <v>933.13522904151023</v>
      </c>
      <c r="S195" s="70">
        <f t="shared" si="29"/>
        <v>979.79199049358579</v>
      </c>
      <c r="T195" s="15">
        <f t="shared" si="29"/>
        <v>1028.781590018265</v>
      </c>
      <c r="U195" s="16">
        <f t="shared" si="29"/>
        <v>1080.2206695191783</v>
      </c>
      <c r="V195" s="17">
        <f t="shared" si="29"/>
        <v>1134.2317029951371</v>
      </c>
      <c r="W195" s="16">
        <f t="shared" si="29"/>
        <v>1190.943288144894</v>
      </c>
      <c r="X195" s="17">
        <f t="shared" si="29"/>
        <v>1250.4904525521388</v>
      </c>
      <c r="Y195" s="16">
        <f t="shared" si="29"/>
        <v>1313.0149751797458</v>
      </c>
      <c r="Z195" s="18">
        <f t="shared" si="29"/>
        <v>1378.665723938733</v>
      </c>
    </row>
    <row r="196" spans="1:26" x14ac:dyDescent="0.2">
      <c r="A196" s="23">
        <v>40603</v>
      </c>
      <c r="B196" s="71">
        <v>427.48</v>
      </c>
      <c r="C196" s="10">
        <f t="shared" si="30"/>
        <v>448.85400000000004</v>
      </c>
      <c r="D196" s="69">
        <f t="shared" si="30"/>
        <v>471.29670000000004</v>
      </c>
      <c r="E196" s="10">
        <f t="shared" si="30"/>
        <v>494.86153500000006</v>
      </c>
      <c r="F196" s="69">
        <f t="shared" si="30"/>
        <v>519.60461175000012</v>
      </c>
      <c r="G196" s="70">
        <f t="shared" si="30"/>
        <v>545.58484233750016</v>
      </c>
      <c r="H196" s="71">
        <f t="shared" si="30"/>
        <v>572.86408445437519</v>
      </c>
      <c r="I196" s="10">
        <f t="shared" si="30"/>
        <v>601.50728867709392</v>
      </c>
      <c r="J196" s="69">
        <f t="shared" si="30"/>
        <v>631.58265311094863</v>
      </c>
      <c r="K196" s="10">
        <f t="shared" si="30"/>
        <v>663.16178576649611</v>
      </c>
      <c r="L196" s="69">
        <f t="shared" si="30"/>
        <v>696.31987505482095</v>
      </c>
      <c r="M196" s="70">
        <f t="shared" si="30"/>
        <v>731.13586880756202</v>
      </c>
      <c r="N196" s="71">
        <f t="shared" si="30"/>
        <v>767.69266224794012</v>
      </c>
      <c r="O196" s="10">
        <f t="shared" si="30"/>
        <v>806.07729536033708</v>
      </c>
      <c r="P196" s="69">
        <f t="shared" si="30"/>
        <v>846.38116012835394</v>
      </c>
      <c r="Q196" s="10">
        <f t="shared" si="30"/>
        <v>888.7002181347716</v>
      </c>
      <c r="R196" s="69">
        <f t="shared" si="30"/>
        <v>933.13522904151023</v>
      </c>
      <c r="S196" s="70">
        <f t="shared" ref="R196:Z211" si="31">(R196*0.05)+R196</f>
        <v>979.79199049358579</v>
      </c>
      <c r="T196" s="15">
        <f t="shared" si="31"/>
        <v>1028.781590018265</v>
      </c>
      <c r="U196" s="16">
        <f t="shared" si="31"/>
        <v>1080.2206695191783</v>
      </c>
      <c r="V196" s="17">
        <f t="shared" si="31"/>
        <v>1134.2317029951371</v>
      </c>
      <c r="W196" s="16">
        <f t="shared" si="31"/>
        <v>1190.943288144894</v>
      </c>
      <c r="X196" s="17">
        <f t="shared" si="31"/>
        <v>1250.4904525521388</v>
      </c>
      <c r="Y196" s="16">
        <f t="shared" si="31"/>
        <v>1313.0149751797458</v>
      </c>
      <c r="Z196" s="18">
        <f t="shared" si="31"/>
        <v>1378.665723938733</v>
      </c>
    </row>
    <row r="197" spans="1:26" x14ac:dyDescent="0.2">
      <c r="A197" s="23">
        <v>40634</v>
      </c>
      <c r="B197" s="71">
        <v>427.48</v>
      </c>
      <c r="C197" s="10">
        <f t="shared" ref="C197:R212" si="32">(B197*0.05)+B197</f>
        <v>448.85400000000004</v>
      </c>
      <c r="D197" s="69">
        <f t="shared" si="32"/>
        <v>471.29670000000004</v>
      </c>
      <c r="E197" s="10">
        <f t="shared" si="32"/>
        <v>494.86153500000006</v>
      </c>
      <c r="F197" s="69">
        <f t="shared" si="32"/>
        <v>519.60461175000012</v>
      </c>
      <c r="G197" s="70">
        <f t="shared" si="32"/>
        <v>545.58484233750016</v>
      </c>
      <c r="H197" s="71">
        <f t="shared" si="32"/>
        <v>572.86408445437519</v>
      </c>
      <c r="I197" s="10">
        <f t="shared" si="32"/>
        <v>601.50728867709392</v>
      </c>
      <c r="J197" s="69">
        <f t="shared" si="32"/>
        <v>631.58265311094863</v>
      </c>
      <c r="K197" s="10">
        <f t="shared" si="32"/>
        <v>663.16178576649611</v>
      </c>
      <c r="L197" s="69">
        <f t="shared" si="32"/>
        <v>696.31987505482095</v>
      </c>
      <c r="M197" s="70">
        <f t="shared" si="32"/>
        <v>731.13586880756202</v>
      </c>
      <c r="N197" s="71">
        <f t="shared" si="32"/>
        <v>767.69266224794012</v>
      </c>
      <c r="O197" s="10">
        <f t="shared" si="32"/>
        <v>806.07729536033708</v>
      </c>
      <c r="P197" s="69">
        <f t="shared" si="32"/>
        <v>846.38116012835394</v>
      </c>
      <c r="Q197" s="10">
        <f t="shared" si="32"/>
        <v>888.7002181347716</v>
      </c>
      <c r="R197" s="69">
        <f t="shared" si="31"/>
        <v>933.13522904151023</v>
      </c>
      <c r="S197" s="70">
        <f t="shared" si="31"/>
        <v>979.79199049358579</v>
      </c>
      <c r="T197" s="15">
        <f t="shared" si="31"/>
        <v>1028.781590018265</v>
      </c>
      <c r="U197" s="16">
        <f t="shared" si="31"/>
        <v>1080.2206695191783</v>
      </c>
      <c r="V197" s="17">
        <f t="shared" si="31"/>
        <v>1134.2317029951371</v>
      </c>
      <c r="W197" s="16">
        <f t="shared" si="31"/>
        <v>1190.943288144894</v>
      </c>
      <c r="X197" s="17">
        <f t="shared" si="31"/>
        <v>1250.4904525521388</v>
      </c>
      <c r="Y197" s="16">
        <f t="shared" si="31"/>
        <v>1313.0149751797458</v>
      </c>
      <c r="Z197" s="18">
        <f t="shared" si="31"/>
        <v>1378.665723938733</v>
      </c>
    </row>
    <row r="198" spans="1:26" x14ac:dyDescent="0.2">
      <c r="A198" s="23">
        <v>40664</v>
      </c>
      <c r="B198" s="71">
        <v>427.48</v>
      </c>
      <c r="C198" s="10">
        <f t="shared" si="32"/>
        <v>448.85400000000004</v>
      </c>
      <c r="D198" s="69">
        <f t="shared" si="32"/>
        <v>471.29670000000004</v>
      </c>
      <c r="E198" s="10">
        <f t="shared" si="32"/>
        <v>494.86153500000006</v>
      </c>
      <c r="F198" s="69">
        <f t="shared" si="32"/>
        <v>519.60461175000012</v>
      </c>
      <c r="G198" s="70">
        <f t="shared" si="32"/>
        <v>545.58484233750016</v>
      </c>
      <c r="H198" s="71">
        <f t="shared" si="32"/>
        <v>572.86408445437519</v>
      </c>
      <c r="I198" s="10">
        <f t="shared" si="32"/>
        <v>601.50728867709392</v>
      </c>
      <c r="J198" s="69">
        <f t="shared" si="32"/>
        <v>631.58265311094863</v>
      </c>
      <c r="K198" s="10">
        <f t="shared" si="32"/>
        <v>663.16178576649611</v>
      </c>
      <c r="L198" s="69">
        <f t="shared" si="32"/>
        <v>696.31987505482095</v>
      </c>
      <c r="M198" s="70">
        <f t="shared" si="32"/>
        <v>731.13586880756202</v>
      </c>
      <c r="N198" s="71">
        <f t="shared" si="32"/>
        <v>767.69266224794012</v>
      </c>
      <c r="O198" s="10">
        <f t="shared" si="32"/>
        <v>806.07729536033708</v>
      </c>
      <c r="P198" s="69">
        <f t="shared" si="32"/>
        <v>846.38116012835394</v>
      </c>
      <c r="Q198" s="10">
        <f t="shared" si="32"/>
        <v>888.7002181347716</v>
      </c>
      <c r="R198" s="69">
        <f>(Q198*0.05)+Q198</f>
        <v>933.13522904151023</v>
      </c>
      <c r="S198" s="70">
        <f t="shared" si="31"/>
        <v>979.79199049358579</v>
      </c>
      <c r="T198" s="15">
        <f t="shared" si="31"/>
        <v>1028.781590018265</v>
      </c>
      <c r="U198" s="16">
        <f t="shared" si="31"/>
        <v>1080.2206695191783</v>
      </c>
      <c r="V198" s="17">
        <f t="shared" si="31"/>
        <v>1134.2317029951371</v>
      </c>
      <c r="W198" s="16">
        <f t="shared" si="31"/>
        <v>1190.943288144894</v>
      </c>
      <c r="X198" s="17">
        <f t="shared" si="31"/>
        <v>1250.4904525521388</v>
      </c>
      <c r="Y198" s="16">
        <f t="shared" si="31"/>
        <v>1313.0149751797458</v>
      </c>
      <c r="Z198" s="18">
        <f t="shared" si="31"/>
        <v>1378.665723938733</v>
      </c>
    </row>
    <row r="199" spans="1:26" x14ac:dyDescent="0.2">
      <c r="A199" s="23">
        <v>40695</v>
      </c>
      <c r="B199" s="71">
        <v>427.48</v>
      </c>
      <c r="C199" s="10">
        <f t="shared" si="32"/>
        <v>448.85400000000004</v>
      </c>
      <c r="D199" s="69">
        <f t="shared" si="32"/>
        <v>471.29670000000004</v>
      </c>
      <c r="E199" s="10">
        <f t="shared" si="32"/>
        <v>494.86153500000006</v>
      </c>
      <c r="F199" s="69">
        <f t="shared" si="32"/>
        <v>519.60461175000012</v>
      </c>
      <c r="G199" s="70">
        <f t="shared" si="32"/>
        <v>545.58484233750016</v>
      </c>
      <c r="H199" s="71">
        <f t="shared" si="32"/>
        <v>572.86408445437519</v>
      </c>
      <c r="I199" s="10">
        <f t="shared" si="32"/>
        <v>601.50728867709392</v>
      </c>
      <c r="J199" s="69">
        <f t="shared" si="32"/>
        <v>631.58265311094863</v>
      </c>
      <c r="K199" s="10">
        <f t="shared" si="32"/>
        <v>663.16178576649611</v>
      </c>
      <c r="L199" s="69">
        <f t="shared" si="32"/>
        <v>696.31987505482095</v>
      </c>
      <c r="M199" s="70">
        <f t="shared" si="32"/>
        <v>731.13586880756202</v>
      </c>
      <c r="N199" s="71">
        <f t="shared" si="32"/>
        <v>767.69266224794012</v>
      </c>
      <c r="O199" s="10">
        <f t="shared" si="32"/>
        <v>806.07729536033708</v>
      </c>
      <c r="P199" s="69">
        <f t="shared" si="32"/>
        <v>846.38116012835394</v>
      </c>
      <c r="Q199" s="10">
        <f t="shared" si="32"/>
        <v>888.7002181347716</v>
      </c>
      <c r="R199" s="69">
        <f>(Q199*0.05)+Q199</f>
        <v>933.13522904151023</v>
      </c>
      <c r="S199" s="70">
        <f t="shared" si="31"/>
        <v>979.79199049358579</v>
      </c>
      <c r="T199" s="15">
        <f t="shared" si="31"/>
        <v>1028.781590018265</v>
      </c>
      <c r="U199" s="16">
        <f t="shared" si="31"/>
        <v>1080.2206695191783</v>
      </c>
      <c r="V199" s="17">
        <f t="shared" si="31"/>
        <v>1134.2317029951371</v>
      </c>
      <c r="W199" s="16">
        <f t="shared" si="31"/>
        <v>1190.943288144894</v>
      </c>
      <c r="X199" s="17">
        <f t="shared" si="31"/>
        <v>1250.4904525521388</v>
      </c>
      <c r="Y199" s="16">
        <f t="shared" si="31"/>
        <v>1313.0149751797458</v>
      </c>
      <c r="Z199" s="18">
        <f t="shared" si="31"/>
        <v>1378.665723938733</v>
      </c>
    </row>
    <row r="200" spans="1:26" x14ac:dyDescent="0.2">
      <c r="A200" s="23">
        <v>40725</v>
      </c>
      <c r="B200" s="71">
        <v>427.48</v>
      </c>
      <c r="C200" s="10">
        <f t="shared" si="32"/>
        <v>448.85400000000004</v>
      </c>
      <c r="D200" s="69">
        <f t="shared" si="32"/>
        <v>471.29670000000004</v>
      </c>
      <c r="E200" s="10">
        <f t="shared" si="32"/>
        <v>494.86153500000006</v>
      </c>
      <c r="F200" s="69">
        <f t="shared" si="32"/>
        <v>519.60461175000012</v>
      </c>
      <c r="G200" s="70">
        <f t="shared" si="32"/>
        <v>545.58484233750016</v>
      </c>
      <c r="H200" s="71">
        <f t="shared" si="32"/>
        <v>572.86408445437519</v>
      </c>
      <c r="I200" s="10">
        <f t="shared" si="32"/>
        <v>601.50728867709392</v>
      </c>
      <c r="J200" s="69">
        <f t="shared" si="32"/>
        <v>631.58265311094863</v>
      </c>
      <c r="K200" s="10">
        <f t="shared" si="32"/>
        <v>663.16178576649611</v>
      </c>
      <c r="L200" s="69">
        <f t="shared" si="32"/>
        <v>696.31987505482095</v>
      </c>
      <c r="M200" s="70">
        <f t="shared" si="32"/>
        <v>731.13586880756202</v>
      </c>
      <c r="N200" s="71">
        <f t="shared" si="32"/>
        <v>767.69266224794012</v>
      </c>
      <c r="O200" s="10">
        <f t="shared" si="32"/>
        <v>806.07729536033708</v>
      </c>
      <c r="P200" s="69">
        <f t="shared" si="32"/>
        <v>846.38116012835394</v>
      </c>
      <c r="Q200" s="10">
        <f t="shared" si="32"/>
        <v>888.7002181347716</v>
      </c>
      <c r="R200" s="69">
        <f>(Q200*0.05)+Q200</f>
        <v>933.13522904151023</v>
      </c>
      <c r="S200" s="70">
        <f t="shared" si="31"/>
        <v>979.79199049358579</v>
      </c>
      <c r="T200" s="15">
        <f t="shared" si="31"/>
        <v>1028.781590018265</v>
      </c>
      <c r="U200" s="16">
        <f t="shared" si="31"/>
        <v>1080.2206695191783</v>
      </c>
      <c r="V200" s="17">
        <f t="shared" si="31"/>
        <v>1134.2317029951371</v>
      </c>
      <c r="W200" s="16">
        <f t="shared" si="31"/>
        <v>1190.943288144894</v>
      </c>
      <c r="X200" s="17">
        <f t="shared" si="31"/>
        <v>1250.4904525521388</v>
      </c>
      <c r="Y200" s="16">
        <f t="shared" si="31"/>
        <v>1313.0149751797458</v>
      </c>
      <c r="Z200" s="18">
        <f t="shared" si="31"/>
        <v>1378.665723938733</v>
      </c>
    </row>
    <row r="201" spans="1:26" x14ac:dyDescent="0.2">
      <c r="A201" s="23">
        <v>40756</v>
      </c>
      <c r="B201" s="71">
        <v>427.48</v>
      </c>
      <c r="C201" s="10">
        <f t="shared" si="32"/>
        <v>448.85400000000004</v>
      </c>
      <c r="D201" s="69">
        <f t="shared" si="32"/>
        <v>471.29670000000004</v>
      </c>
      <c r="E201" s="10">
        <f t="shared" si="32"/>
        <v>494.86153500000006</v>
      </c>
      <c r="F201" s="69">
        <f t="shared" si="32"/>
        <v>519.60461175000012</v>
      </c>
      <c r="G201" s="70">
        <f t="shared" si="32"/>
        <v>545.58484233750016</v>
      </c>
      <c r="H201" s="71">
        <f t="shared" si="32"/>
        <v>572.86408445437519</v>
      </c>
      <c r="I201" s="10">
        <f t="shared" si="32"/>
        <v>601.50728867709392</v>
      </c>
      <c r="J201" s="69">
        <f t="shared" si="32"/>
        <v>631.58265311094863</v>
      </c>
      <c r="K201" s="10">
        <f t="shared" si="32"/>
        <v>663.16178576649611</v>
      </c>
      <c r="L201" s="69">
        <f t="shared" si="32"/>
        <v>696.31987505482095</v>
      </c>
      <c r="M201" s="70">
        <f t="shared" si="32"/>
        <v>731.13586880756202</v>
      </c>
      <c r="N201" s="71">
        <f t="shared" si="32"/>
        <v>767.69266224794012</v>
      </c>
      <c r="O201" s="10">
        <f t="shared" si="32"/>
        <v>806.07729536033708</v>
      </c>
      <c r="P201" s="69">
        <f t="shared" si="32"/>
        <v>846.38116012835394</v>
      </c>
      <c r="Q201" s="10">
        <f t="shared" si="32"/>
        <v>888.7002181347716</v>
      </c>
      <c r="R201" s="69">
        <f>(Q201*0.05)+Q201</f>
        <v>933.13522904151023</v>
      </c>
      <c r="S201" s="70">
        <f t="shared" si="31"/>
        <v>979.79199049358579</v>
      </c>
      <c r="T201" s="15">
        <f t="shared" si="31"/>
        <v>1028.781590018265</v>
      </c>
      <c r="U201" s="16">
        <f t="shared" si="31"/>
        <v>1080.2206695191783</v>
      </c>
      <c r="V201" s="17">
        <f t="shared" si="31"/>
        <v>1134.2317029951371</v>
      </c>
      <c r="W201" s="16">
        <f t="shared" si="31"/>
        <v>1190.943288144894</v>
      </c>
      <c r="X201" s="17">
        <f t="shared" si="31"/>
        <v>1250.4904525521388</v>
      </c>
      <c r="Y201" s="16">
        <f t="shared" si="31"/>
        <v>1313.0149751797458</v>
      </c>
      <c r="Z201" s="18">
        <f t="shared" si="31"/>
        <v>1378.665723938733</v>
      </c>
    </row>
    <row r="202" spans="1:26" x14ac:dyDescent="0.2">
      <c r="A202" s="23">
        <v>40787</v>
      </c>
      <c r="B202" s="71">
        <v>427.48</v>
      </c>
      <c r="C202" s="10">
        <f t="shared" si="32"/>
        <v>448.85400000000004</v>
      </c>
      <c r="D202" s="69">
        <f t="shared" si="32"/>
        <v>471.29670000000004</v>
      </c>
      <c r="E202" s="10">
        <f t="shared" si="32"/>
        <v>494.86153500000006</v>
      </c>
      <c r="F202" s="69">
        <f t="shared" si="32"/>
        <v>519.60461175000012</v>
      </c>
      <c r="G202" s="70">
        <f t="shared" si="32"/>
        <v>545.58484233750016</v>
      </c>
      <c r="H202" s="71">
        <f t="shared" si="32"/>
        <v>572.86408445437519</v>
      </c>
      <c r="I202" s="10">
        <f t="shared" si="32"/>
        <v>601.50728867709392</v>
      </c>
      <c r="J202" s="69">
        <f t="shared" si="32"/>
        <v>631.58265311094863</v>
      </c>
      <c r="K202" s="10">
        <f t="shared" si="32"/>
        <v>663.16178576649611</v>
      </c>
      <c r="L202" s="69">
        <f t="shared" si="32"/>
        <v>696.31987505482095</v>
      </c>
      <c r="M202" s="70">
        <f t="shared" si="32"/>
        <v>731.13586880756202</v>
      </c>
      <c r="N202" s="71">
        <f t="shared" si="32"/>
        <v>767.69266224794012</v>
      </c>
      <c r="O202" s="10">
        <f t="shared" si="32"/>
        <v>806.07729536033708</v>
      </c>
      <c r="P202" s="69">
        <f t="shared" si="32"/>
        <v>846.38116012835394</v>
      </c>
      <c r="Q202" s="10">
        <f t="shared" si="32"/>
        <v>888.7002181347716</v>
      </c>
      <c r="R202" s="69">
        <f>(Q202*0.05)+Q202</f>
        <v>933.13522904151023</v>
      </c>
      <c r="S202" s="70">
        <f t="shared" si="31"/>
        <v>979.79199049358579</v>
      </c>
      <c r="T202" s="15">
        <f t="shared" si="31"/>
        <v>1028.781590018265</v>
      </c>
      <c r="U202" s="16">
        <f t="shared" si="31"/>
        <v>1080.2206695191783</v>
      </c>
      <c r="V202" s="17">
        <f t="shared" si="31"/>
        <v>1134.2317029951371</v>
      </c>
      <c r="W202" s="16">
        <f t="shared" si="31"/>
        <v>1190.943288144894</v>
      </c>
      <c r="X202" s="17">
        <f t="shared" si="31"/>
        <v>1250.4904525521388</v>
      </c>
      <c r="Y202" s="16">
        <f t="shared" si="31"/>
        <v>1313.0149751797458</v>
      </c>
      <c r="Z202" s="18">
        <f t="shared" si="31"/>
        <v>1378.665723938733</v>
      </c>
    </row>
    <row r="203" spans="1:26" x14ac:dyDescent="0.2">
      <c r="A203" s="23">
        <v>40817</v>
      </c>
      <c r="B203" s="71">
        <v>678.33</v>
      </c>
      <c r="C203" s="10">
        <f t="shared" si="32"/>
        <v>712.24650000000008</v>
      </c>
      <c r="D203" s="69">
        <f t="shared" si="32"/>
        <v>747.85882500000014</v>
      </c>
      <c r="E203" s="10">
        <f t="shared" si="32"/>
        <v>785.25176625000017</v>
      </c>
      <c r="F203" s="69">
        <f t="shared" si="32"/>
        <v>824.51435456250022</v>
      </c>
      <c r="G203" s="70">
        <f t="shared" si="32"/>
        <v>865.74007229062522</v>
      </c>
      <c r="H203" s="71">
        <f t="shared" si="32"/>
        <v>909.02707590515649</v>
      </c>
      <c r="I203" s="10">
        <f t="shared" si="32"/>
        <v>954.47842970041438</v>
      </c>
      <c r="J203" s="69">
        <f t="shared" si="32"/>
        <v>1002.2023511854351</v>
      </c>
      <c r="K203" s="10">
        <f t="shared" si="32"/>
        <v>1052.3124687447068</v>
      </c>
      <c r="L203" s="69">
        <f t="shared" si="32"/>
        <v>1104.9280921819422</v>
      </c>
      <c r="M203" s="70">
        <f t="shared" si="32"/>
        <v>1160.1744967910395</v>
      </c>
      <c r="N203" s="71">
        <f t="shared" si="32"/>
        <v>1218.1832216305916</v>
      </c>
      <c r="O203" s="10">
        <f t="shared" si="32"/>
        <v>1279.0923827121212</v>
      </c>
      <c r="P203" s="69">
        <f t="shared" si="32"/>
        <v>1343.0470018477272</v>
      </c>
      <c r="Q203" s="10">
        <f t="shared" si="32"/>
        <v>1410.1993519401135</v>
      </c>
      <c r="R203" s="69">
        <f t="shared" si="32"/>
        <v>1480.7093195371192</v>
      </c>
      <c r="S203" s="70">
        <f t="shared" si="31"/>
        <v>1554.7447855139751</v>
      </c>
      <c r="T203" s="15">
        <f t="shared" si="31"/>
        <v>1632.4820247896739</v>
      </c>
      <c r="U203" s="16">
        <f t="shared" si="31"/>
        <v>1714.1061260291576</v>
      </c>
      <c r="V203" s="17">
        <f t="shared" si="31"/>
        <v>1799.8114323306154</v>
      </c>
      <c r="W203" s="16">
        <f t="shared" si="31"/>
        <v>1889.8020039471462</v>
      </c>
      <c r="X203" s="17">
        <f t="shared" si="31"/>
        <v>1984.2921041445036</v>
      </c>
      <c r="Y203" s="16">
        <f t="shared" si="31"/>
        <v>2083.5067093517287</v>
      </c>
      <c r="Z203" s="18">
        <f t="shared" si="31"/>
        <v>2187.6820448193153</v>
      </c>
    </row>
    <row r="204" spans="1:26" x14ac:dyDescent="0.2">
      <c r="A204" s="23">
        <v>40848</v>
      </c>
      <c r="B204" s="71">
        <v>678.33</v>
      </c>
      <c r="C204" s="10">
        <f t="shared" si="32"/>
        <v>712.24650000000008</v>
      </c>
      <c r="D204" s="69">
        <f t="shared" si="32"/>
        <v>747.85882500000014</v>
      </c>
      <c r="E204" s="10">
        <f t="shared" si="32"/>
        <v>785.25176625000017</v>
      </c>
      <c r="F204" s="69">
        <f t="shared" si="32"/>
        <v>824.51435456250022</v>
      </c>
      <c r="G204" s="70">
        <f t="shared" si="32"/>
        <v>865.74007229062522</v>
      </c>
      <c r="H204" s="71">
        <f t="shared" si="32"/>
        <v>909.02707590515649</v>
      </c>
      <c r="I204" s="10">
        <f t="shared" si="32"/>
        <v>954.47842970041438</v>
      </c>
      <c r="J204" s="69">
        <f t="shared" si="32"/>
        <v>1002.2023511854351</v>
      </c>
      <c r="K204" s="10">
        <f t="shared" si="32"/>
        <v>1052.3124687447068</v>
      </c>
      <c r="L204" s="69">
        <f t="shared" si="32"/>
        <v>1104.9280921819422</v>
      </c>
      <c r="M204" s="70">
        <f t="shared" si="32"/>
        <v>1160.1744967910395</v>
      </c>
      <c r="N204" s="71">
        <f t="shared" si="32"/>
        <v>1218.1832216305916</v>
      </c>
      <c r="O204" s="10">
        <f t="shared" si="32"/>
        <v>1279.0923827121212</v>
      </c>
      <c r="P204" s="69">
        <f t="shared" si="32"/>
        <v>1343.0470018477272</v>
      </c>
      <c r="Q204" s="10">
        <f t="shared" si="32"/>
        <v>1410.1993519401135</v>
      </c>
      <c r="R204" s="69">
        <f t="shared" si="32"/>
        <v>1480.7093195371192</v>
      </c>
      <c r="S204" s="70">
        <f t="shared" si="31"/>
        <v>1554.7447855139751</v>
      </c>
      <c r="T204" s="15">
        <f t="shared" si="31"/>
        <v>1632.4820247896739</v>
      </c>
      <c r="U204" s="16">
        <f t="shared" si="31"/>
        <v>1714.1061260291576</v>
      </c>
      <c r="V204" s="17">
        <f t="shared" si="31"/>
        <v>1799.8114323306154</v>
      </c>
      <c r="W204" s="16">
        <f t="shared" si="31"/>
        <v>1889.8020039471462</v>
      </c>
      <c r="X204" s="17">
        <f t="shared" si="31"/>
        <v>1984.2921041445036</v>
      </c>
      <c r="Y204" s="16">
        <f t="shared" si="31"/>
        <v>2083.5067093517287</v>
      </c>
      <c r="Z204" s="18">
        <f t="shared" si="31"/>
        <v>2187.6820448193153</v>
      </c>
    </row>
    <row r="205" spans="1:26" x14ac:dyDescent="0.2">
      <c r="A205" s="23">
        <v>40878</v>
      </c>
      <c r="B205" s="71">
        <v>678.33</v>
      </c>
      <c r="C205" s="10">
        <f t="shared" si="32"/>
        <v>712.24650000000008</v>
      </c>
      <c r="D205" s="69">
        <f t="shared" si="32"/>
        <v>747.85882500000014</v>
      </c>
      <c r="E205" s="10">
        <f t="shared" si="32"/>
        <v>785.25176625000017</v>
      </c>
      <c r="F205" s="69">
        <f t="shared" si="32"/>
        <v>824.51435456250022</v>
      </c>
      <c r="G205" s="70">
        <f t="shared" si="32"/>
        <v>865.74007229062522</v>
      </c>
      <c r="H205" s="71">
        <f t="shared" si="32"/>
        <v>909.02707590515649</v>
      </c>
      <c r="I205" s="10">
        <f t="shared" si="32"/>
        <v>954.47842970041438</v>
      </c>
      <c r="J205" s="69">
        <f t="shared" si="32"/>
        <v>1002.2023511854351</v>
      </c>
      <c r="K205" s="10">
        <f t="shared" si="32"/>
        <v>1052.3124687447068</v>
      </c>
      <c r="L205" s="69">
        <f t="shared" si="32"/>
        <v>1104.9280921819422</v>
      </c>
      <c r="M205" s="70">
        <f t="shared" si="32"/>
        <v>1160.1744967910395</v>
      </c>
      <c r="N205" s="71">
        <f t="shared" si="32"/>
        <v>1218.1832216305916</v>
      </c>
      <c r="O205" s="10">
        <f t="shared" si="32"/>
        <v>1279.0923827121212</v>
      </c>
      <c r="P205" s="69">
        <f t="shared" si="32"/>
        <v>1343.0470018477272</v>
      </c>
      <c r="Q205" s="10">
        <f t="shared" si="32"/>
        <v>1410.1993519401135</v>
      </c>
      <c r="R205" s="69">
        <f t="shared" si="32"/>
        <v>1480.7093195371192</v>
      </c>
      <c r="S205" s="70">
        <f t="shared" si="31"/>
        <v>1554.7447855139751</v>
      </c>
      <c r="T205" s="15">
        <f t="shared" si="31"/>
        <v>1632.4820247896739</v>
      </c>
      <c r="U205" s="16">
        <f t="shared" si="31"/>
        <v>1714.1061260291576</v>
      </c>
      <c r="V205" s="17">
        <f t="shared" si="31"/>
        <v>1799.8114323306154</v>
      </c>
      <c r="W205" s="16">
        <f t="shared" si="31"/>
        <v>1889.8020039471462</v>
      </c>
      <c r="X205" s="17">
        <f t="shared" si="31"/>
        <v>1984.2921041445036</v>
      </c>
      <c r="Y205" s="16">
        <f t="shared" si="31"/>
        <v>2083.5067093517287</v>
      </c>
      <c r="Z205" s="18">
        <f t="shared" si="31"/>
        <v>2187.6820448193153</v>
      </c>
    </row>
    <row r="206" spans="1:26" x14ac:dyDescent="0.2">
      <c r="A206" s="23">
        <v>40909</v>
      </c>
      <c r="B206" s="71">
        <v>725.5</v>
      </c>
      <c r="C206" s="10">
        <f t="shared" si="32"/>
        <v>761.77499999999998</v>
      </c>
      <c r="D206" s="69">
        <f t="shared" si="32"/>
        <v>799.86374999999998</v>
      </c>
      <c r="E206" s="10">
        <f t="shared" si="32"/>
        <v>839.85693749999996</v>
      </c>
      <c r="F206" s="69">
        <f t="shared" si="32"/>
        <v>881.8497843749999</v>
      </c>
      <c r="G206" s="70">
        <f t="shared" si="32"/>
        <v>925.94227359374986</v>
      </c>
      <c r="H206" s="71">
        <f t="shared" si="32"/>
        <v>972.23938727343739</v>
      </c>
      <c r="I206" s="10">
        <f t="shared" si="32"/>
        <v>1020.8513566371092</v>
      </c>
      <c r="J206" s="69">
        <f t="shared" si="32"/>
        <v>1071.8939244689648</v>
      </c>
      <c r="K206" s="10">
        <f t="shared" si="32"/>
        <v>1125.488620692413</v>
      </c>
      <c r="L206" s="69">
        <f t="shared" si="32"/>
        <v>1181.7630517270336</v>
      </c>
      <c r="M206" s="70">
        <f t="shared" si="32"/>
        <v>1240.8512043133853</v>
      </c>
      <c r="N206" s="71">
        <f t="shared" si="32"/>
        <v>1302.8937645290546</v>
      </c>
      <c r="O206" s="10">
        <f t="shared" si="32"/>
        <v>1368.0384527555073</v>
      </c>
      <c r="P206" s="69">
        <f t="shared" si="32"/>
        <v>1436.4403753932827</v>
      </c>
      <c r="Q206" s="10">
        <f t="shared" si="32"/>
        <v>1508.2623941629467</v>
      </c>
      <c r="R206" s="69">
        <f t="shared" si="32"/>
        <v>1583.6755138710942</v>
      </c>
      <c r="S206" s="70">
        <f t="shared" si="31"/>
        <v>1662.8592895646489</v>
      </c>
      <c r="T206" s="15">
        <f t="shared" si="31"/>
        <v>1746.0022540428813</v>
      </c>
      <c r="U206" s="16">
        <f t="shared" si="31"/>
        <v>1833.3023667450254</v>
      </c>
      <c r="V206" s="17">
        <f t="shared" si="31"/>
        <v>1924.9674850822767</v>
      </c>
      <c r="W206" s="16">
        <f t="shared" si="31"/>
        <v>2021.2158593363904</v>
      </c>
      <c r="X206" s="17">
        <f t="shared" si="31"/>
        <v>2122.2766523032101</v>
      </c>
      <c r="Y206" s="16">
        <f t="shared" si="31"/>
        <v>2228.3904849183705</v>
      </c>
      <c r="Z206" s="18">
        <f t="shared" si="31"/>
        <v>2339.8100091642891</v>
      </c>
    </row>
    <row r="207" spans="1:26" x14ac:dyDescent="0.2">
      <c r="A207" s="23">
        <v>40940</v>
      </c>
      <c r="B207" s="71">
        <v>725.5</v>
      </c>
      <c r="C207" s="10">
        <f t="shared" si="32"/>
        <v>761.77499999999998</v>
      </c>
      <c r="D207" s="69">
        <f t="shared" si="32"/>
        <v>799.86374999999998</v>
      </c>
      <c r="E207" s="10">
        <f t="shared" si="32"/>
        <v>839.85693749999996</v>
      </c>
      <c r="F207" s="69">
        <f t="shared" si="32"/>
        <v>881.8497843749999</v>
      </c>
      <c r="G207" s="70">
        <f t="shared" si="32"/>
        <v>925.94227359374986</v>
      </c>
      <c r="H207" s="71">
        <f t="shared" si="32"/>
        <v>972.23938727343739</v>
      </c>
      <c r="I207" s="10">
        <f t="shared" si="32"/>
        <v>1020.8513566371092</v>
      </c>
      <c r="J207" s="69">
        <f t="shared" si="32"/>
        <v>1071.8939244689648</v>
      </c>
      <c r="K207" s="10">
        <f t="shared" si="32"/>
        <v>1125.488620692413</v>
      </c>
      <c r="L207" s="69">
        <f t="shared" si="32"/>
        <v>1181.7630517270336</v>
      </c>
      <c r="M207" s="70">
        <f t="shared" si="32"/>
        <v>1240.8512043133853</v>
      </c>
      <c r="N207" s="71">
        <f t="shared" si="32"/>
        <v>1302.8937645290546</v>
      </c>
      <c r="O207" s="10">
        <f t="shared" si="32"/>
        <v>1368.0384527555073</v>
      </c>
      <c r="P207" s="69">
        <f t="shared" si="32"/>
        <v>1436.4403753932827</v>
      </c>
      <c r="Q207" s="10">
        <f t="shared" si="32"/>
        <v>1508.2623941629467</v>
      </c>
      <c r="R207" s="69">
        <f t="shared" si="32"/>
        <v>1583.6755138710942</v>
      </c>
      <c r="S207" s="70">
        <f t="shared" si="31"/>
        <v>1662.8592895646489</v>
      </c>
      <c r="T207" s="15">
        <f t="shared" si="31"/>
        <v>1746.0022540428813</v>
      </c>
      <c r="U207" s="16">
        <f t="shared" si="31"/>
        <v>1833.3023667450254</v>
      </c>
      <c r="V207" s="17">
        <f t="shared" si="31"/>
        <v>1924.9674850822767</v>
      </c>
      <c r="W207" s="16">
        <f t="shared" si="31"/>
        <v>2021.2158593363904</v>
      </c>
      <c r="X207" s="17">
        <f t="shared" si="31"/>
        <v>2122.2766523032101</v>
      </c>
      <c r="Y207" s="16">
        <f t="shared" si="31"/>
        <v>2228.3904849183705</v>
      </c>
      <c r="Z207" s="18">
        <f t="shared" si="31"/>
        <v>2339.8100091642891</v>
      </c>
    </row>
    <row r="208" spans="1:26" x14ac:dyDescent="0.2">
      <c r="A208" s="23">
        <v>40969</v>
      </c>
      <c r="B208" s="71">
        <v>725.5</v>
      </c>
      <c r="C208" s="10">
        <f t="shared" si="32"/>
        <v>761.77499999999998</v>
      </c>
      <c r="D208" s="69">
        <f t="shared" si="32"/>
        <v>799.86374999999998</v>
      </c>
      <c r="E208" s="10">
        <f t="shared" si="32"/>
        <v>839.85693749999996</v>
      </c>
      <c r="F208" s="69">
        <f t="shared" si="32"/>
        <v>881.8497843749999</v>
      </c>
      <c r="G208" s="70">
        <f t="shared" si="32"/>
        <v>925.94227359374986</v>
      </c>
      <c r="H208" s="71">
        <f t="shared" si="32"/>
        <v>972.23938727343739</v>
      </c>
      <c r="I208" s="10">
        <f t="shared" si="32"/>
        <v>1020.8513566371092</v>
      </c>
      <c r="J208" s="69">
        <f t="shared" si="32"/>
        <v>1071.8939244689648</v>
      </c>
      <c r="K208" s="10">
        <f t="shared" si="32"/>
        <v>1125.488620692413</v>
      </c>
      <c r="L208" s="69">
        <f t="shared" si="32"/>
        <v>1181.7630517270336</v>
      </c>
      <c r="M208" s="70">
        <f t="shared" si="32"/>
        <v>1240.8512043133853</v>
      </c>
      <c r="N208" s="71">
        <f t="shared" si="32"/>
        <v>1302.8937645290546</v>
      </c>
      <c r="O208" s="10">
        <f t="shared" si="32"/>
        <v>1368.0384527555073</v>
      </c>
      <c r="P208" s="69">
        <f t="shared" si="32"/>
        <v>1436.4403753932827</v>
      </c>
      <c r="Q208" s="10">
        <f t="shared" si="32"/>
        <v>1508.2623941629467</v>
      </c>
      <c r="R208" s="69">
        <f t="shared" si="32"/>
        <v>1583.6755138710942</v>
      </c>
      <c r="S208" s="70">
        <f t="shared" si="31"/>
        <v>1662.8592895646489</v>
      </c>
      <c r="T208" s="15">
        <f t="shared" si="31"/>
        <v>1746.0022540428813</v>
      </c>
      <c r="U208" s="16">
        <f t="shared" si="31"/>
        <v>1833.3023667450254</v>
      </c>
      <c r="V208" s="17">
        <f t="shared" si="31"/>
        <v>1924.9674850822767</v>
      </c>
      <c r="W208" s="16">
        <f t="shared" si="31"/>
        <v>2021.2158593363904</v>
      </c>
      <c r="X208" s="17">
        <f t="shared" si="31"/>
        <v>2122.2766523032101</v>
      </c>
      <c r="Y208" s="16">
        <f t="shared" si="31"/>
        <v>2228.3904849183705</v>
      </c>
      <c r="Z208" s="18">
        <f t="shared" si="31"/>
        <v>2339.8100091642891</v>
      </c>
    </row>
    <row r="209" spans="1:26" x14ac:dyDescent="0.2">
      <c r="A209" s="23">
        <v>41000</v>
      </c>
      <c r="B209" s="71">
        <v>725.5</v>
      </c>
      <c r="C209" s="10">
        <f t="shared" si="32"/>
        <v>761.77499999999998</v>
      </c>
      <c r="D209" s="69">
        <f t="shared" si="32"/>
        <v>799.86374999999998</v>
      </c>
      <c r="E209" s="10">
        <f t="shared" si="32"/>
        <v>839.85693749999996</v>
      </c>
      <c r="F209" s="69">
        <f t="shared" si="32"/>
        <v>881.8497843749999</v>
      </c>
      <c r="G209" s="70">
        <f t="shared" si="32"/>
        <v>925.94227359374986</v>
      </c>
      <c r="H209" s="71">
        <f t="shared" si="32"/>
        <v>972.23938727343739</v>
      </c>
      <c r="I209" s="10">
        <f t="shared" si="32"/>
        <v>1020.8513566371092</v>
      </c>
      <c r="J209" s="69">
        <f t="shared" si="32"/>
        <v>1071.8939244689648</v>
      </c>
      <c r="K209" s="10">
        <f t="shared" si="32"/>
        <v>1125.488620692413</v>
      </c>
      <c r="L209" s="69">
        <f t="shared" si="32"/>
        <v>1181.7630517270336</v>
      </c>
      <c r="M209" s="70">
        <f t="shared" si="32"/>
        <v>1240.8512043133853</v>
      </c>
      <c r="N209" s="71">
        <f t="shared" si="32"/>
        <v>1302.8937645290546</v>
      </c>
      <c r="O209" s="10">
        <f t="shared" si="32"/>
        <v>1368.0384527555073</v>
      </c>
      <c r="P209" s="69">
        <f t="shared" si="32"/>
        <v>1436.4403753932827</v>
      </c>
      <c r="Q209" s="10">
        <f t="shared" si="32"/>
        <v>1508.2623941629467</v>
      </c>
      <c r="R209" s="69">
        <f t="shared" si="32"/>
        <v>1583.6755138710942</v>
      </c>
      <c r="S209" s="70">
        <f t="shared" si="31"/>
        <v>1662.8592895646489</v>
      </c>
      <c r="T209" s="15">
        <f t="shared" si="31"/>
        <v>1746.0022540428813</v>
      </c>
      <c r="U209" s="16">
        <f t="shared" si="31"/>
        <v>1833.3023667450254</v>
      </c>
      <c r="V209" s="17">
        <f t="shared" si="31"/>
        <v>1924.9674850822767</v>
      </c>
      <c r="W209" s="16">
        <f t="shared" si="31"/>
        <v>2021.2158593363904</v>
      </c>
      <c r="X209" s="17">
        <f t="shared" si="31"/>
        <v>2122.2766523032101</v>
      </c>
      <c r="Y209" s="16">
        <f t="shared" si="31"/>
        <v>2228.3904849183705</v>
      </c>
      <c r="Z209" s="18">
        <f t="shared" si="31"/>
        <v>2339.8100091642891</v>
      </c>
    </row>
    <row r="210" spans="1:26" x14ac:dyDescent="0.2">
      <c r="A210" s="23">
        <v>41030</v>
      </c>
      <c r="B210" s="71">
        <v>725.5</v>
      </c>
      <c r="C210" s="10">
        <f t="shared" si="32"/>
        <v>761.77499999999998</v>
      </c>
      <c r="D210" s="69">
        <f t="shared" si="32"/>
        <v>799.86374999999998</v>
      </c>
      <c r="E210" s="10">
        <f t="shared" si="32"/>
        <v>839.85693749999996</v>
      </c>
      <c r="F210" s="69">
        <f t="shared" si="32"/>
        <v>881.8497843749999</v>
      </c>
      <c r="G210" s="70">
        <f t="shared" si="32"/>
        <v>925.94227359374986</v>
      </c>
      <c r="H210" s="71">
        <f t="shared" si="32"/>
        <v>972.23938727343739</v>
      </c>
      <c r="I210" s="10">
        <f t="shared" si="32"/>
        <v>1020.8513566371092</v>
      </c>
      <c r="J210" s="69">
        <f t="shared" si="32"/>
        <v>1071.8939244689648</v>
      </c>
      <c r="K210" s="10">
        <f t="shared" si="32"/>
        <v>1125.488620692413</v>
      </c>
      <c r="L210" s="69">
        <f t="shared" si="32"/>
        <v>1181.7630517270336</v>
      </c>
      <c r="M210" s="70">
        <f t="shared" si="32"/>
        <v>1240.8512043133853</v>
      </c>
      <c r="N210" s="71">
        <f t="shared" si="32"/>
        <v>1302.8937645290546</v>
      </c>
      <c r="O210" s="10">
        <f t="shared" si="32"/>
        <v>1368.0384527555073</v>
      </c>
      <c r="P210" s="69">
        <f t="shared" si="32"/>
        <v>1436.4403753932827</v>
      </c>
      <c r="Q210" s="10">
        <f t="shared" si="32"/>
        <v>1508.2623941629467</v>
      </c>
      <c r="R210" s="69">
        <f t="shared" si="32"/>
        <v>1583.6755138710942</v>
      </c>
      <c r="S210" s="70">
        <f t="shared" si="31"/>
        <v>1662.8592895646489</v>
      </c>
      <c r="T210" s="15">
        <f t="shared" si="31"/>
        <v>1746.0022540428813</v>
      </c>
      <c r="U210" s="16">
        <f t="shared" si="31"/>
        <v>1833.3023667450254</v>
      </c>
      <c r="V210" s="17">
        <f t="shared" si="31"/>
        <v>1924.9674850822767</v>
      </c>
      <c r="W210" s="16">
        <f t="shared" si="31"/>
        <v>2021.2158593363904</v>
      </c>
      <c r="X210" s="17">
        <f t="shared" si="31"/>
        <v>2122.2766523032101</v>
      </c>
      <c r="Y210" s="16">
        <f t="shared" si="31"/>
        <v>2228.3904849183705</v>
      </c>
      <c r="Z210" s="18">
        <f t="shared" si="31"/>
        <v>2339.8100091642891</v>
      </c>
    </row>
    <row r="211" spans="1:26" x14ac:dyDescent="0.2">
      <c r="A211" s="23">
        <v>41061</v>
      </c>
      <c r="B211" s="71">
        <v>725.5</v>
      </c>
      <c r="C211" s="10">
        <f t="shared" si="32"/>
        <v>761.77499999999998</v>
      </c>
      <c r="D211" s="69">
        <f t="shared" si="32"/>
        <v>799.86374999999998</v>
      </c>
      <c r="E211" s="10">
        <f t="shared" si="32"/>
        <v>839.85693749999996</v>
      </c>
      <c r="F211" s="69">
        <f t="shared" si="32"/>
        <v>881.8497843749999</v>
      </c>
      <c r="G211" s="70">
        <f t="shared" si="32"/>
        <v>925.94227359374986</v>
      </c>
      <c r="H211" s="71">
        <f t="shared" si="32"/>
        <v>972.23938727343739</v>
      </c>
      <c r="I211" s="10">
        <f t="shared" si="32"/>
        <v>1020.8513566371092</v>
      </c>
      <c r="J211" s="69">
        <f t="shared" si="32"/>
        <v>1071.8939244689648</v>
      </c>
      <c r="K211" s="10">
        <f t="shared" si="32"/>
        <v>1125.488620692413</v>
      </c>
      <c r="L211" s="69">
        <f t="shared" si="32"/>
        <v>1181.7630517270336</v>
      </c>
      <c r="M211" s="70">
        <f t="shared" si="32"/>
        <v>1240.8512043133853</v>
      </c>
      <c r="N211" s="71">
        <f t="shared" si="32"/>
        <v>1302.8937645290546</v>
      </c>
      <c r="O211" s="10">
        <f t="shared" si="32"/>
        <v>1368.0384527555073</v>
      </c>
      <c r="P211" s="69">
        <f t="shared" si="32"/>
        <v>1436.4403753932827</v>
      </c>
      <c r="Q211" s="10">
        <f t="shared" si="32"/>
        <v>1508.2623941629467</v>
      </c>
      <c r="R211" s="69">
        <f t="shared" si="32"/>
        <v>1583.6755138710942</v>
      </c>
      <c r="S211" s="70">
        <f t="shared" si="31"/>
        <v>1662.8592895646489</v>
      </c>
      <c r="T211" s="15">
        <f t="shared" si="31"/>
        <v>1746.0022540428813</v>
      </c>
      <c r="U211" s="16">
        <f t="shared" si="31"/>
        <v>1833.3023667450254</v>
      </c>
      <c r="V211" s="17">
        <f t="shared" si="31"/>
        <v>1924.9674850822767</v>
      </c>
      <c r="W211" s="16">
        <f t="shared" si="31"/>
        <v>2021.2158593363904</v>
      </c>
      <c r="X211" s="17">
        <f t="shared" si="31"/>
        <v>2122.2766523032101</v>
      </c>
      <c r="Y211" s="16">
        <f t="shared" si="31"/>
        <v>2228.3904849183705</v>
      </c>
      <c r="Z211" s="18">
        <f t="shared" si="31"/>
        <v>2339.8100091642891</v>
      </c>
    </row>
    <row r="212" spans="1:26" x14ac:dyDescent="0.2">
      <c r="A212" s="23">
        <v>41091</v>
      </c>
      <c r="B212" s="71">
        <v>725.5</v>
      </c>
      <c r="C212" s="10">
        <f t="shared" si="32"/>
        <v>761.77499999999998</v>
      </c>
      <c r="D212" s="69">
        <f t="shared" si="32"/>
        <v>799.86374999999998</v>
      </c>
      <c r="E212" s="10">
        <f t="shared" si="32"/>
        <v>839.85693749999996</v>
      </c>
      <c r="F212" s="69">
        <f t="shared" si="32"/>
        <v>881.8497843749999</v>
      </c>
      <c r="G212" s="70">
        <f t="shared" si="32"/>
        <v>925.94227359374986</v>
      </c>
      <c r="H212" s="71">
        <f t="shared" si="32"/>
        <v>972.23938727343739</v>
      </c>
      <c r="I212" s="10">
        <f t="shared" si="32"/>
        <v>1020.8513566371092</v>
      </c>
      <c r="J212" s="69">
        <f t="shared" si="32"/>
        <v>1071.8939244689648</v>
      </c>
      <c r="K212" s="10">
        <f t="shared" si="32"/>
        <v>1125.488620692413</v>
      </c>
      <c r="L212" s="69">
        <f t="shared" si="32"/>
        <v>1181.7630517270336</v>
      </c>
      <c r="M212" s="70">
        <f t="shared" si="32"/>
        <v>1240.8512043133853</v>
      </c>
      <c r="N212" s="71">
        <f t="shared" si="32"/>
        <v>1302.8937645290546</v>
      </c>
      <c r="O212" s="10">
        <f t="shared" si="32"/>
        <v>1368.0384527555073</v>
      </c>
      <c r="P212" s="69">
        <f t="shared" si="32"/>
        <v>1436.4403753932827</v>
      </c>
      <c r="Q212" s="10">
        <f t="shared" si="32"/>
        <v>1508.2623941629467</v>
      </c>
      <c r="R212" s="69">
        <f t="shared" si="32"/>
        <v>1583.6755138710942</v>
      </c>
      <c r="S212" s="70">
        <f t="shared" ref="S212:Z217" si="33">(R212*0.05)+R212</f>
        <v>1662.8592895646489</v>
      </c>
      <c r="T212" s="15">
        <f t="shared" si="33"/>
        <v>1746.0022540428813</v>
      </c>
      <c r="U212" s="16">
        <f t="shared" si="33"/>
        <v>1833.3023667450254</v>
      </c>
      <c r="V212" s="17">
        <f t="shared" si="33"/>
        <v>1924.9674850822767</v>
      </c>
      <c r="W212" s="16">
        <f t="shared" si="33"/>
        <v>2021.2158593363904</v>
      </c>
      <c r="X212" s="17">
        <f t="shared" si="33"/>
        <v>2122.2766523032101</v>
      </c>
      <c r="Y212" s="16">
        <f t="shared" si="33"/>
        <v>2228.3904849183705</v>
      </c>
      <c r="Z212" s="18">
        <f t="shared" si="33"/>
        <v>2339.8100091642891</v>
      </c>
    </row>
    <row r="213" spans="1:26" x14ac:dyDescent="0.2">
      <c r="A213" s="23">
        <v>41122</v>
      </c>
      <c r="B213" s="71">
        <v>725.5</v>
      </c>
      <c r="C213" s="10">
        <f t="shared" ref="C213:R217" si="34">(B213*0.05)+B213</f>
        <v>761.77499999999998</v>
      </c>
      <c r="D213" s="69">
        <f t="shared" si="34"/>
        <v>799.86374999999998</v>
      </c>
      <c r="E213" s="10">
        <f t="shared" si="34"/>
        <v>839.85693749999996</v>
      </c>
      <c r="F213" s="69">
        <f t="shared" si="34"/>
        <v>881.8497843749999</v>
      </c>
      <c r="G213" s="70">
        <f t="shared" si="34"/>
        <v>925.94227359374986</v>
      </c>
      <c r="H213" s="71">
        <f t="shared" si="34"/>
        <v>972.23938727343739</v>
      </c>
      <c r="I213" s="10">
        <f t="shared" si="34"/>
        <v>1020.8513566371092</v>
      </c>
      <c r="J213" s="69">
        <f t="shared" si="34"/>
        <v>1071.8939244689648</v>
      </c>
      <c r="K213" s="10">
        <f t="shared" si="34"/>
        <v>1125.488620692413</v>
      </c>
      <c r="L213" s="69">
        <f t="shared" si="34"/>
        <v>1181.7630517270336</v>
      </c>
      <c r="M213" s="70">
        <f t="shared" si="34"/>
        <v>1240.8512043133853</v>
      </c>
      <c r="N213" s="71">
        <f t="shared" si="34"/>
        <v>1302.8937645290546</v>
      </c>
      <c r="O213" s="10">
        <f t="shared" si="34"/>
        <v>1368.0384527555073</v>
      </c>
      <c r="P213" s="69">
        <f t="shared" si="34"/>
        <v>1436.4403753932827</v>
      </c>
      <c r="Q213" s="10">
        <f t="shared" si="34"/>
        <v>1508.2623941629467</v>
      </c>
      <c r="R213" s="69">
        <f t="shared" si="34"/>
        <v>1583.6755138710942</v>
      </c>
      <c r="S213" s="70">
        <f t="shared" si="33"/>
        <v>1662.8592895646489</v>
      </c>
      <c r="T213" s="15">
        <f t="shared" si="33"/>
        <v>1746.0022540428813</v>
      </c>
      <c r="U213" s="16">
        <f t="shared" si="33"/>
        <v>1833.3023667450254</v>
      </c>
      <c r="V213" s="17">
        <f t="shared" si="33"/>
        <v>1924.9674850822767</v>
      </c>
      <c r="W213" s="16">
        <f t="shared" si="33"/>
        <v>2021.2158593363904</v>
      </c>
      <c r="X213" s="17">
        <f t="shared" si="33"/>
        <v>2122.2766523032101</v>
      </c>
      <c r="Y213" s="16">
        <f t="shared" si="33"/>
        <v>2228.3904849183705</v>
      </c>
      <c r="Z213" s="18">
        <f t="shared" si="33"/>
        <v>2339.8100091642891</v>
      </c>
    </row>
    <row r="214" spans="1:26" x14ac:dyDescent="0.2">
      <c r="A214" s="23">
        <v>41153</v>
      </c>
      <c r="B214" s="71">
        <v>725.5</v>
      </c>
      <c r="C214" s="10">
        <f t="shared" si="34"/>
        <v>761.77499999999998</v>
      </c>
      <c r="D214" s="69">
        <f t="shared" si="34"/>
        <v>799.86374999999998</v>
      </c>
      <c r="E214" s="10">
        <f t="shared" si="34"/>
        <v>839.85693749999996</v>
      </c>
      <c r="F214" s="69">
        <f t="shared" si="34"/>
        <v>881.8497843749999</v>
      </c>
      <c r="G214" s="70">
        <f t="shared" si="34"/>
        <v>925.94227359374986</v>
      </c>
      <c r="H214" s="71">
        <f t="shared" si="34"/>
        <v>972.23938727343739</v>
      </c>
      <c r="I214" s="10">
        <f t="shared" si="34"/>
        <v>1020.8513566371092</v>
      </c>
      <c r="J214" s="69">
        <f t="shared" si="34"/>
        <v>1071.8939244689648</v>
      </c>
      <c r="K214" s="10">
        <f t="shared" si="34"/>
        <v>1125.488620692413</v>
      </c>
      <c r="L214" s="69">
        <f t="shared" si="34"/>
        <v>1181.7630517270336</v>
      </c>
      <c r="M214" s="70">
        <f t="shared" si="34"/>
        <v>1240.8512043133853</v>
      </c>
      <c r="N214" s="71">
        <f t="shared" si="34"/>
        <v>1302.8937645290546</v>
      </c>
      <c r="O214" s="10">
        <f t="shared" si="34"/>
        <v>1368.0384527555073</v>
      </c>
      <c r="P214" s="69">
        <f t="shared" si="34"/>
        <v>1436.4403753932827</v>
      </c>
      <c r="Q214" s="10">
        <f t="shared" si="34"/>
        <v>1508.2623941629467</v>
      </c>
      <c r="R214" s="69">
        <f t="shared" si="34"/>
        <v>1583.6755138710942</v>
      </c>
      <c r="S214" s="70">
        <f t="shared" si="33"/>
        <v>1662.8592895646489</v>
      </c>
      <c r="T214" s="15">
        <f t="shared" si="33"/>
        <v>1746.0022540428813</v>
      </c>
      <c r="U214" s="16">
        <f t="shared" si="33"/>
        <v>1833.3023667450254</v>
      </c>
      <c r="V214" s="17">
        <f t="shared" si="33"/>
        <v>1924.9674850822767</v>
      </c>
      <c r="W214" s="16">
        <f t="shared" si="33"/>
        <v>2021.2158593363904</v>
      </c>
      <c r="X214" s="17">
        <f t="shared" si="33"/>
        <v>2122.2766523032101</v>
      </c>
      <c r="Y214" s="16">
        <f t="shared" si="33"/>
        <v>2228.3904849183705</v>
      </c>
      <c r="Z214" s="18">
        <f t="shared" si="33"/>
        <v>2339.8100091642891</v>
      </c>
    </row>
    <row r="215" spans="1:26" x14ac:dyDescent="0.2">
      <c r="A215" s="23">
        <v>41183</v>
      </c>
      <c r="B215" s="71">
        <v>725.5</v>
      </c>
      <c r="C215" s="10">
        <f t="shared" si="34"/>
        <v>761.77499999999998</v>
      </c>
      <c r="D215" s="69">
        <f t="shared" si="34"/>
        <v>799.86374999999998</v>
      </c>
      <c r="E215" s="10">
        <f t="shared" si="34"/>
        <v>839.85693749999996</v>
      </c>
      <c r="F215" s="69">
        <f t="shared" si="34"/>
        <v>881.8497843749999</v>
      </c>
      <c r="G215" s="70">
        <f t="shared" si="34"/>
        <v>925.94227359374986</v>
      </c>
      <c r="H215" s="71">
        <f t="shared" si="34"/>
        <v>972.23938727343739</v>
      </c>
      <c r="I215" s="10">
        <f t="shared" si="34"/>
        <v>1020.8513566371092</v>
      </c>
      <c r="J215" s="69">
        <f t="shared" si="34"/>
        <v>1071.8939244689648</v>
      </c>
      <c r="K215" s="10">
        <f t="shared" si="34"/>
        <v>1125.488620692413</v>
      </c>
      <c r="L215" s="69">
        <f t="shared" si="34"/>
        <v>1181.7630517270336</v>
      </c>
      <c r="M215" s="70">
        <f t="shared" si="34"/>
        <v>1240.8512043133853</v>
      </c>
      <c r="N215" s="71">
        <f t="shared" si="34"/>
        <v>1302.8937645290546</v>
      </c>
      <c r="O215" s="10">
        <f t="shared" si="34"/>
        <v>1368.0384527555073</v>
      </c>
      <c r="P215" s="69">
        <f t="shared" si="34"/>
        <v>1436.4403753932827</v>
      </c>
      <c r="Q215" s="10">
        <f t="shared" si="34"/>
        <v>1508.2623941629467</v>
      </c>
      <c r="R215" s="69">
        <f t="shared" si="34"/>
        <v>1583.6755138710942</v>
      </c>
      <c r="S215" s="70">
        <f t="shared" si="33"/>
        <v>1662.8592895646489</v>
      </c>
      <c r="T215" s="15">
        <f t="shared" si="33"/>
        <v>1746.0022540428813</v>
      </c>
      <c r="U215" s="16">
        <f t="shared" si="33"/>
        <v>1833.3023667450254</v>
      </c>
      <c r="V215" s="17">
        <f t="shared" si="33"/>
        <v>1924.9674850822767</v>
      </c>
      <c r="W215" s="16">
        <f t="shared" si="33"/>
        <v>2021.2158593363904</v>
      </c>
      <c r="X215" s="17">
        <f t="shared" si="33"/>
        <v>2122.2766523032101</v>
      </c>
      <c r="Y215" s="16">
        <f t="shared" si="33"/>
        <v>2228.3904849183705</v>
      </c>
      <c r="Z215" s="18">
        <f t="shared" si="33"/>
        <v>2339.8100091642891</v>
      </c>
    </row>
    <row r="216" spans="1:26" x14ac:dyDescent="0.2">
      <c r="A216" s="23">
        <v>41214</v>
      </c>
      <c r="B216" s="71">
        <v>725.5</v>
      </c>
      <c r="C216" s="10">
        <f t="shared" si="34"/>
        <v>761.77499999999998</v>
      </c>
      <c r="D216" s="69">
        <f t="shared" si="34"/>
        <v>799.86374999999998</v>
      </c>
      <c r="E216" s="10">
        <f t="shared" si="34"/>
        <v>839.85693749999996</v>
      </c>
      <c r="F216" s="69">
        <f t="shared" si="34"/>
        <v>881.8497843749999</v>
      </c>
      <c r="G216" s="70">
        <f t="shared" si="34"/>
        <v>925.94227359374986</v>
      </c>
      <c r="H216" s="71">
        <f t="shared" si="34"/>
        <v>972.23938727343739</v>
      </c>
      <c r="I216" s="10">
        <f t="shared" si="34"/>
        <v>1020.8513566371092</v>
      </c>
      <c r="J216" s="69">
        <f t="shared" si="34"/>
        <v>1071.8939244689648</v>
      </c>
      <c r="K216" s="10">
        <f t="shared" si="34"/>
        <v>1125.488620692413</v>
      </c>
      <c r="L216" s="69">
        <f t="shared" si="34"/>
        <v>1181.7630517270336</v>
      </c>
      <c r="M216" s="70">
        <f t="shared" si="34"/>
        <v>1240.8512043133853</v>
      </c>
      <c r="N216" s="71">
        <f t="shared" si="34"/>
        <v>1302.8937645290546</v>
      </c>
      <c r="O216" s="10">
        <f t="shared" si="34"/>
        <v>1368.0384527555073</v>
      </c>
      <c r="P216" s="69">
        <f t="shared" si="34"/>
        <v>1436.4403753932827</v>
      </c>
      <c r="Q216" s="10">
        <f t="shared" si="34"/>
        <v>1508.2623941629467</v>
      </c>
      <c r="R216" s="69">
        <f t="shared" si="34"/>
        <v>1583.6755138710942</v>
      </c>
      <c r="S216" s="70">
        <f t="shared" si="33"/>
        <v>1662.8592895646489</v>
      </c>
      <c r="T216" s="15">
        <f t="shared" si="33"/>
        <v>1746.0022540428813</v>
      </c>
      <c r="U216" s="16">
        <f t="shared" si="33"/>
        <v>1833.3023667450254</v>
      </c>
      <c r="V216" s="17">
        <f t="shared" si="33"/>
        <v>1924.9674850822767</v>
      </c>
      <c r="W216" s="16">
        <f t="shared" si="33"/>
        <v>2021.2158593363904</v>
      </c>
      <c r="X216" s="17">
        <f t="shared" si="33"/>
        <v>2122.2766523032101</v>
      </c>
      <c r="Y216" s="16">
        <f t="shared" si="33"/>
        <v>2228.3904849183705</v>
      </c>
      <c r="Z216" s="18">
        <f t="shared" si="33"/>
        <v>2339.8100091642891</v>
      </c>
    </row>
    <row r="217" spans="1:26" ht="13.5" thickBot="1" x14ac:dyDescent="0.25">
      <c r="A217" s="23">
        <v>41244</v>
      </c>
      <c r="B217" s="71">
        <v>725.5</v>
      </c>
      <c r="C217" s="10">
        <f t="shared" si="34"/>
        <v>761.77499999999998</v>
      </c>
      <c r="D217" s="69">
        <f t="shared" si="34"/>
        <v>799.86374999999998</v>
      </c>
      <c r="E217" s="10">
        <f t="shared" si="34"/>
        <v>839.85693749999996</v>
      </c>
      <c r="F217" s="69">
        <f t="shared" si="34"/>
        <v>881.8497843749999</v>
      </c>
      <c r="G217" s="70">
        <f t="shared" si="34"/>
        <v>925.94227359374986</v>
      </c>
      <c r="H217" s="71">
        <f t="shared" si="34"/>
        <v>972.23938727343739</v>
      </c>
      <c r="I217" s="10">
        <f t="shared" si="34"/>
        <v>1020.8513566371092</v>
      </c>
      <c r="J217" s="69">
        <f t="shared" si="34"/>
        <v>1071.8939244689648</v>
      </c>
      <c r="K217" s="10">
        <f t="shared" si="34"/>
        <v>1125.488620692413</v>
      </c>
      <c r="L217" s="69">
        <f t="shared" si="34"/>
        <v>1181.7630517270336</v>
      </c>
      <c r="M217" s="70">
        <f t="shared" si="34"/>
        <v>1240.8512043133853</v>
      </c>
      <c r="N217" s="71">
        <f t="shared" si="34"/>
        <v>1302.8937645290546</v>
      </c>
      <c r="O217" s="10">
        <f t="shared" si="34"/>
        <v>1368.0384527555073</v>
      </c>
      <c r="P217" s="69">
        <f t="shared" si="34"/>
        <v>1436.4403753932827</v>
      </c>
      <c r="Q217" s="10">
        <f t="shared" si="34"/>
        <v>1508.2623941629467</v>
      </c>
      <c r="R217" s="69">
        <f t="shared" si="34"/>
        <v>1583.6755138710942</v>
      </c>
      <c r="S217" s="70">
        <f t="shared" si="33"/>
        <v>1662.8592895646489</v>
      </c>
      <c r="T217" s="19">
        <f t="shared" si="33"/>
        <v>1746.0022540428813</v>
      </c>
      <c r="U217" s="20">
        <f t="shared" si="33"/>
        <v>1833.3023667450254</v>
      </c>
      <c r="V217" s="21">
        <f t="shared" si="33"/>
        <v>1924.9674850822767</v>
      </c>
      <c r="W217" s="20">
        <f t="shared" si="33"/>
        <v>2021.2158593363904</v>
      </c>
      <c r="X217" s="21">
        <f t="shared" si="33"/>
        <v>2122.2766523032101</v>
      </c>
      <c r="Y217" s="20">
        <f t="shared" si="33"/>
        <v>2228.3904849183705</v>
      </c>
      <c r="Z217" s="22">
        <f t="shared" si="33"/>
        <v>2339.8100091642891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ModeloDescNovo</vt:lpstr>
      <vt:lpstr>ModeloDescNovo!Area_de_impressao</vt:lpstr>
    </vt:vector>
  </TitlesOfParts>
  <Company>LABORATÓRIO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Henrique de Sousa Teixeira</dc:creator>
  <cp:lastModifiedBy>Thiago Henrique</cp:lastModifiedBy>
  <cp:lastPrinted>2021-09-20T18:16:49Z</cp:lastPrinted>
  <dcterms:created xsi:type="dcterms:W3CDTF">2010-11-24T03:27:37Z</dcterms:created>
  <dcterms:modified xsi:type="dcterms:W3CDTF">2025-09-01T01:29:09Z</dcterms:modified>
</cp:coreProperties>
</file>